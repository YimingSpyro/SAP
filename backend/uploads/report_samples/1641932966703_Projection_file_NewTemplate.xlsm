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1_TeachingAllocation\AY2021_S1\CourseCurriculum_testing26Oct2020\"/>
    </mc:Choice>
  </mc:AlternateContent>
  <bookViews>
    <workbookView xWindow="4650" yWindow="0" windowWidth="19200" windowHeight="6550" firstSheet="1" activeTab="2"/>
  </bookViews>
  <sheets>
    <sheet name="Steps" sheetId="26" r:id="rId1"/>
    <sheet name="Parameters" sheetId="38" r:id="rId2"/>
    <sheet name="Details" sheetId="17" r:id="rId3"/>
    <sheet name="Elective Numbers" sheetId="31" r:id="rId4"/>
    <sheet name="MP By Course" sheetId="18" state="hidden" r:id="rId5"/>
    <sheet name="Core Numbers" sheetId="32" r:id="rId6"/>
    <sheet name="Servicing" sheetId="42" r:id="rId7"/>
    <sheet name="SD" sheetId="37" r:id="rId8"/>
    <sheet name="Queries" sheetId="33" state="hidden" r:id="rId9"/>
    <sheet name="DDA" sheetId="34" state="hidden" r:id="rId10"/>
    <sheet name="Old (Electives)" sheetId="39" state="hidden" r:id="rId11"/>
    <sheet name="IT Electives" sheetId="40" state="hidden" r:id="rId12"/>
    <sheet name="Specialist Dip" sheetId="41" r:id="rId13"/>
  </sheets>
  <externalReferences>
    <externalReference r:id="rId14"/>
  </externalReferences>
  <definedNames>
    <definedName name="_xlnm._FilterDatabase" localSheetId="2" hidden="1">Details!$A$7:$BQ$140</definedName>
    <definedName name="_xlnm._FilterDatabase" localSheetId="3" hidden="1">'Elective Numbers'!$A$1:$G$2</definedName>
    <definedName name="_xlnm._FilterDatabase" localSheetId="6" hidden="1">Servicing!#REF!</definedName>
    <definedName name="MC" localSheetId="11">#REF!</definedName>
    <definedName name="MC" localSheetId="10">#REF!</definedName>
    <definedName name="MC">#REF!</definedName>
    <definedName name="MC_1">#REF!</definedName>
    <definedName name="ModuleName" localSheetId="11">#REF!</definedName>
    <definedName name="ModuleName" localSheetId="10">#REF!</definedName>
    <definedName name="ModuleName">#REF!</definedName>
    <definedName name="_xlnm.Print_Area" localSheetId="2">Details!$A$1:$BA$140</definedName>
    <definedName name="_xlnm.Print_Area" localSheetId="11">'IT Electives'!$A$1:$X$35</definedName>
    <definedName name="_xlnm.Print_Area" localSheetId="10">'Old (Electives)'!$A$1:$V$33</definedName>
    <definedName name="_xlnm.Print_Area" localSheetId="1">Parameters!$A$1:$Z$27</definedName>
    <definedName name="_xlnm.Print_Titles" localSheetId="2">Details!$A:$T,Details!$9:$11</definedName>
    <definedName name="_xlnm.Print_Titles" localSheetId="4">'MP By Course'!$A:$B,'MP By Course'!$1:$7</definedName>
    <definedName name="StaffID" localSheetId="11">#REF!</definedName>
    <definedName name="StaffID" localSheetId="10">#REF!</definedName>
    <definedName name="StaffID">#REF!</definedName>
    <definedName name="StaffName" localSheetId="11">#REF!</definedName>
    <definedName name="StaffName" localSheetId="10">#REF!</definedName>
    <definedName name="StaffName">#REF!</definedName>
  </definedNames>
  <calcPr calcId="162913"/>
</workbook>
</file>

<file path=xl/calcChain.xml><?xml version="1.0" encoding="utf-8"?>
<calcChain xmlns="http://schemas.openxmlformats.org/spreadsheetml/2006/main">
  <c r="BJ160" i="17" l="1"/>
  <c r="BI160" i="17"/>
  <c r="BH160" i="17"/>
  <c r="BF160" i="17"/>
  <c r="BC160" i="17"/>
  <c r="AY160" i="17"/>
  <c r="AR160" i="17"/>
  <c r="BN160" i="17" s="1"/>
  <c r="AO160" i="17"/>
  <c r="AN160" i="17"/>
  <c r="AS160" i="17" s="1"/>
  <c r="BO160" i="17" s="1"/>
  <c r="AM160" i="17"/>
  <c r="AL160" i="17"/>
  <c r="AQ160" i="17" s="1"/>
  <c r="AK160" i="17"/>
  <c r="AP160" i="17" s="1"/>
  <c r="BO159" i="17"/>
  <c r="BJ159" i="17"/>
  <c r="BI159" i="17"/>
  <c r="BH159" i="17"/>
  <c r="BF159" i="17"/>
  <c r="BC159" i="17"/>
  <c r="AY159" i="17"/>
  <c r="AO159" i="17" s="1"/>
  <c r="AQ159" i="17"/>
  <c r="AP159" i="17"/>
  <c r="BM159" i="17" s="1"/>
  <c r="AN159" i="17"/>
  <c r="AS159" i="17" s="1"/>
  <c r="AM159" i="17"/>
  <c r="AR159" i="17" s="1"/>
  <c r="BN159" i="17" s="1"/>
  <c r="AL159" i="17"/>
  <c r="AK159" i="17"/>
  <c r="BJ158" i="17"/>
  <c r="BI158" i="17"/>
  <c r="BH158" i="17"/>
  <c r="BF158" i="17"/>
  <c r="BC158" i="17"/>
  <c r="AY158" i="17"/>
  <c r="AO158" i="17" s="1"/>
  <c r="AS158" i="17"/>
  <c r="BO158" i="17" s="1"/>
  <c r="AP158" i="17"/>
  <c r="AN158" i="17"/>
  <c r="AM158" i="17"/>
  <c r="AR158" i="17" s="1"/>
  <c r="BN158" i="17" s="1"/>
  <c r="AL158" i="17"/>
  <c r="AQ158" i="17" s="1"/>
  <c r="AK158" i="17"/>
  <c r="BJ157" i="17"/>
  <c r="BI157" i="17"/>
  <c r="BH157" i="17"/>
  <c r="BF157" i="17"/>
  <c r="BC157" i="17"/>
  <c r="AY157" i="17"/>
  <c r="AS157" i="17"/>
  <c r="BO157" i="17" s="1"/>
  <c r="AR157" i="17"/>
  <c r="BN157" i="17" s="1"/>
  <c r="AO157" i="17"/>
  <c r="AN157" i="17"/>
  <c r="AM157" i="17"/>
  <c r="AL157" i="17"/>
  <c r="AQ157" i="17" s="1"/>
  <c r="BM157" i="17" s="1"/>
  <c r="AK157" i="17"/>
  <c r="AP157" i="17" s="1"/>
  <c r="BJ156" i="17"/>
  <c r="BI156" i="17"/>
  <c r="BH156" i="17"/>
  <c r="BF156" i="17"/>
  <c r="BC156" i="17"/>
  <c r="AY156" i="17"/>
  <c r="AR156" i="17"/>
  <c r="BN156" i="17" s="1"/>
  <c r="AQ156" i="17"/>
  <c r="AO156" i="17"/>
  <c r="AN156" i="17"/>
  <c r="AS156" i="17" s="1"/>
  <c r="AM156" i="17"/>
  <c r="AL156" i="17"/>
  <c r="AK156" i="17"/>
  <c r="AP156" i="17" s="1"/>
  <c r="BM156" i="17" s="1"/>
  <c r="BO155" i="17"/>
  <c r="BJ155" i="17"/>
  <c r="BI155" i="17"/>
  <c r="BH155" i="17"/>
  <c r="BF155" i="17"/>
  <c r="BC155" i="17"/>
  <c r="AY155" i="17"/>
  <c r="AO155" i="17" s="1"/>
  <c r="AQ155" i="17"/>
  <c r="AP155" i="17"/>
  <c r="BM155" i="17" s="1"/>
  <c r="AN155" i="17"/>
  <c r="AS155" i="17" s="1"/>
  <c r="AM155" i="17"/>
  <c r="AR155" i="17" s="1"/>
  <c r="BN155" i="17" s="1"/>
  <c r="AL155" i="17"/>
  <c r="AK155" i="17"/>
  <c r="BN154" i="17"/>
  <c r="BJ154" i="17"/>
  <c r="BI154" i="17"/>
  <c r="BH154" i="17"/>
  <c r="BF154" i="17"/>
  <c r="BC154" i="17"/>
  <c r="AY154" i="17"/>
  <c r="AO154" i="17" s="1"/>
  <c r="AS154" i="17"/>
  <c r="BO154" i="17" s="1"/>
  <c r="AP154" i="17"/>
  <c r="AN154" i="17"/>
  <c r="AM154" i="17"/>
  <c r="AR154" i="17" s="1"/>
  <c r="AL154" i="17"/>
  <c r="AQ154" i="17" s="1"/>
  <c r="AK154" i="17"/>
  <c r="BJ153" i="17"/>
  <c r="BI153" i="17"/>
  <c r="BH153" i="17"/>
  <c r="BF153" i="17"/>
  <c r="BC153" i="17"/>
  <c r="AY153" i="17"/>
  <c r="AS153" i="17"/>
  <c r="BO153" i="17" s="1"/>
  <c r="AR153" i="17"/>
  <c r="BN153" i="17" s="1"/>
  <c r="AO153" i="17"/>
  <c r="AN153" i="17"/>
  <c r="AM153" i="17"/>
  <c r="AL153" i="17"/>
  <c r="AQ153" i="17" s="1"/>
  <c r="BM153" i="17" s="1"/>
  <c r="AK153" i="17"/>
  <c r="AP153" i="17" s="1"/>
  <c r="BJ152" i="17"/>
  <c r="BI152" i="17"/>
  <c r="BH152" i="17"/>
  <c r="BF152" i="17"/>
  <c r="BD152" i="17"/>
  <c r="BC152" i="17"/>
  <c r="AY152" i="17"/>
  <c r="AR152" i="17"/>
  <c r="BN152" i="17" s="1"/>
  <c r="AQ152" i="17"/>
  <c r="AO152" i="17"/>
  <c r="AN152" i="17"/>
  <c r="AS152" i="17" s="1"/>
  <c r="BO152" i="17" s="1"/>
  <c r="AM152" i="17"/>
  <c r="AL152" i="17"/>
  <c r="AK152" i="17"/>
  <c r="AP152" i="17" s="1"/>
  <c r="BM152" i="17" s="1"/>
  <c r="BO151" i="17"/>
  <c r="BJ151" i="17"/>
  <c r="BI151" i="17"/>
  <c r="BH151" i="17"/>
  <c r="BF151" i="17"/>
  <c r="BC151" i="17"/>
  <c r="AY151" i="17"/>
  <c r="AO151" i="17" s="1"/>
  <c r="AQ151" i="17"/>
  <c r="AP151" i="17"/>
  <c r="BM151" i="17" s="1"/>
  <c r="AN151" i="17"/>
  <c r="AS151" i="17" s="1"/>
  <c r="AM151" i="17"/>
  <c r="AR151" i="17" s="1"/>
  <c r="BN151" i="17" s="1"/>
  <c r="AL151" i="17"/>
  <c r="AK151" i="17"/>
  <c r="BJ150" i="17"/>
  <c r="BI150" i="17"/>
  <c r="BH150" i="17"/>
  <c r="BF150" i="17"/>
  <c r="BC150" i="17"/>
  <c r="AY150" i="17"/>
  <c r="AO150" i="17" s="1"/>
  <c r="AS150" i="17"/>
  <c r="BO150" i="17" s="1"/>
  <c r="AP150" i="17"/>
  <c r="AN150" i="17"/>
  <c r="AM150" i="17"/>
  <c r="AR150" i="17" s="1"/>
  <c r="BN150" i="17" s="1"/>
  <c r="AL150" i="17"/>
  <c r="AQ150" i="17" s="1"/>
  <c r="AK150" i="17"/>
  <c r="BJ149" i="17"/>
  <c r="BI149" i="17"/>
  <c r="BH149" i="17"/>
  <c r="BF149" i="17"/>
  <c r="BC149" i="17"/>
  <c r="AY149" i="17"/>
  <c r="AS149" i="17"/>
  <c r="BO149" i="17" s="1"/>
  <c r="AR149" i="17"/>
  <c r="BN149" i="17" s="1"/>
  <c r="AO149" i="17"/>
  <c r="AN149" i="17"/>
  <c r="AM149" i="17"/>
  <c r="AL149" i="17"/>
  <c r="AQ149" i="17" s="1"/>
  <c r="BM149" i="17" s="1"/>
  <c r="AK149" i="17"/>
  <c r="AP149" i="17" s="1"/>
  <c r="BJ148" i="17"/>
  <c r="BI148" i="17"/>
  <c r="BH148" i="17"/>
  <c r="BF148" i="17"/>
  <c r="BC148" i="17"/>
  <c r="AY148" i="17"/>
  <c r="AR148" i="17"/>
  <c r="BN148" i="17" s="1"/>
  <c r="AQ148" i="17"/>
  <c r="AO148" i="17"/>
  <c r="AN148" i="17"/>
  <c r="AS148" i="17" s="1"/>
  <c r="BO148" i="17" s="1"/>
  <c r="AM148" i="17"/>
  <c r="AL148" i="17"/>
  <c r="AK148" i="17"/>
  <c r="AP148" i="17" s="1"/>
  <c r="BM148" i="17" s="1"/>
  <c r="BO147" i="17"/>
  <c r="BJ147" i="17"/>
  <c r="BI147" i="17"/>
  <c r="BH147" i="17"/>
  <c r="BF147" i="17"/>
  <c r="BC147" i="17"/>
  <c r="AY147" i="17"/>
  <c r="AO147" i="17" s="1"/>
  <c r="AQ147" i="17"/>
  <c r="AP147" i="17"/>
  <c r="BM147" i="17" s="1"/>
  <c r="AN147" i="17"/>
  <c r="AS147" i="17" s="1"/>
  <c r="AM147" i="17"/>
  <c r="AR147" i="17" s="1"/>
  <c r="BN147" i="17" s="1"/>
  <c r="AL147" i="17"/>
  <c r="AK147" i="17"/>
  <c r="BN146" i="17"/>
  <c r="BJ146" i="17"/>
  <c r="BI146" i="17"/>
  <c r="BH146" i="17"/>
  <c r="BF146" i="17"/>
  <c r="BC146" i="17"/>
  <c r="AY146" i="17"/>
  <c r="AO146" i="17" s="1"/>
  <c r="AS146" i="17"/>
  <c r="BO146" i="17" s="1"/>
  <c r="AP146" i="17"/>
  <c r="AN146" i="17"/>
  <c r="AM146" i="17"/>
  <c r="AR146" i="17" s="1"/>
  <c r="AL146" i="17"/>
  <c r="AQ146" i="17" s="1"/>
  <c r="AK146" i="17"/>
  <c r="BJ145" i="17"/>
  <c r="BI145" i="17"/>
  <c r="BH145" i="17"/>
  <c r="BF145" i="17"/>
  <c r="BC145" i="17"/>
  <c r="AY145" i="17"/>
  <c r="AS145" i="17"/>
  <c r="BO145" i="17" s="1"/>
  <c r="AR145" i="17"/>
  <c r="BN145" i="17" s="1"/>
  <c r="AO145" i="17"/>
  <c r="AN145" i="17"/>
  <c r="AM145" i="17"/>
  <c r="AL145" i="17"/>
  <c r="AQ145" i="17" s="1"/>
  <c r="BM145" i="17" s="1"/>
  <c r="AK145" i="17"/>
  <c r="AP145" i="17" s="1"/>
  <c r="BJ144" i="17"/>
  <c r="BI144" i="17"/>
  <c r="BH144" i="17"/>
  <c r="BF144" i="17"/>
  <c r="BC144" i="17"/>
  <c r="AY144" i="17"/>
  <c r="AO144" i="17" s="1"/>
  <c r="AR144" i="17"/>
  <c r="BN144" i="17" s="1"/>
  <c r="AQ144" i="17"/>
  <c r="AN144" i="17"/>
  <c r="AS144" i="17" s="1"/>
  <c r="BO144" i="17" s="1"/>
  <c r="AM144" i="17"/>
  <c r="AL144" i="17"/>
  <c r="AK144" i="17"/>
  <c r="AP144" i="17" s="1"/>
  <c r="BM144" i="17" s="1"/>
  <c r="BO143" i="17"/>
  <c r="BJ143" i="17"/>
  <c r="BI143" i="17"/>
  <c r="BH143" i="17"/>
  <c r="BF143" i="17"/>
  <c r="BC143" i="17"/>
  <c r="AY143" i="17"/>
  <c r="AO143" i="17" s="1"/>
  <c r="AQ143" i="17"/>
  <c r="AP143" i="17"/>
  <c r="AN143" i="17"/>
  <c r="AS143" i="17" s="1"/>
  <c r="AM143" i="17"/>
  <c r="AR143" i="17" s="1"/>
  <c r="BN143" i="17" s="1"/>
  <c r="AL143" i="17"/>
  <c r="AK143" i="17"/>
  <c r="BJ142" i="17"/>
  <c r="BI142" i="17"/>
  <c r="BH142" i="17"/>
  <c r="BF142" i="17"/>
  <c r="BC142" i="17"/>
  <c r="AY142" i="17"/>
  <c r="AO142" i="17" s="1"/>
  <c r="AS142" i="17"/>
  <c r="BO142" i="17" s="1"/>
  <c r="AP142" i="17"/>
  <c r="AN142" i="17"/>
  <c r="AM142" i="17"/>
  <c r="AR142" i="17" s="1"/>
  <c r="BN142" i="17" s="1"/>
  <c r="AL142" i="17"/>
  <c r="AQ142" i="17" s="1"/>
  <c r="AK142" i="17"/>
  <c r="BJ141" i="17"/>
  <c r="BI141" i="17"/>
  <c r="BH141" i="17"/>
  <c r="BF141" i="17"/>
  <c r="BC141" i="17"/>
  <c r="AY141" i="17"/>
  <c r="AS141" i="17"/>
  <c r="BO141" i="17" s="1"/>
  <c r="AR141" i="17"/>
  <c r="BN141" i="17" s="1"/>
  <c r="AO141" i="17"/>
  <c r="AN141" i="17"/>
  <c r="AM141" i="17"/>
  <c r="AL141" i="17"/>
  <c r="AQ141" i="17" s="1"/>
  <c r="AK141" i="17"/>
  <c r="AP141" i="17" s="1"/>
  <c r="BJ140" i="17"/>
  <c r="BI140" i="17"/>
  <c r="BH140" i="17"/>
  <c r="BF140" i="17"/>
  <c r="BD140" i="17"/>
  <c r="BC140" i="17"/>
  <c r="AY140" i="17"/>
  <c r="AR140" i="17"/>
  <c r="BN140" i="17" s="1"/>
  <c r="AQ140" i="17"/>
  <c r="AO140" i="17"/>
  <c r="AN140" i="17"/>
  <c r="AS140" i="17" s="1"/>
  <c r="BO140" i="17" s="1"/>
  <c r="AM140" i="17"/>
  <c r="AL140" i="17"/>
  <c r="AK140" i="17"/>
  <c r="AP140" i="17" s="1"/>
  <c r="BM140" i="17" s="1"/>
  <c r="BJ139" i="17"/>
  <c r="BI139" i="17"/>
  <c r="BH139" i="17"/>
  <c r="BF139" i="17"/>
  <c r="BC139" i="17"/>
  <c r="AY139" i="17"/>
  <c r="AO139" i="17" s="1"/>
  <c r="AQ139" i="17"/>
  <c r="AP139" i="17"/>
  <c r="AN139" i="17"/>
  <c r="AS139" i="17" s="1"/>
  <c r="BO139" i="17" s="1"/>
  <c r="AM139" i="17"/>
  <c r="AR139" i="17" s="1"/>
  <c r="BN139" i="17" s="1"/>
  <c r="AL139" i="17"/>
  <c r="AK139" i="17"/>
  <c r="BN138" i="17"/>
  <c r="BJ138" i="17"/>
  <c r="BI138" i="17"/>
  <c r="BH138" i="17"/>
  <c r="BF138" i="17"/>
  <c r="BC138" i="17"/>
  <c r="AY138" i="17"/>
  <c r="AO138" i="17" s="1"/>
  <c r="AS138" i="17"/>
  <c r="BO138" i="17" s="1"/>
  <c r="AP138" i="17"/>
  <c r="AN138" i="17"/>
  <c r="AM138" i="17"/>
  <c r="AR138" i="17" s="1"/>
  <c r="AL138" i="17"/>
  <c r="AQ138" i="17" s="1"/>
  <c r="AK138" i="17"/>
  <c r="BJ137" i="17"/>
  <c r="BI137" i="17"/>
  <c r="BH137" i="17"/>
  <c r="BF137" i="17"/>
  <c r="BC137" i="17"/>
  <c r="AY137" i="17"/>
  <c r="AS137" i="17"/>
  <c r="BO137" i="17" s="1"/>
  <c r="AR137" i="17"/>
  <c r="BN137" i="17" s="1"/>
  <c r="AO137" i="17"/>
  <c r="AN137" i="17"/>
  <c r="AM137" i="17"/>
  <c r="AL137" i="17"/>
  <c r="AQ137" i="17" s="1"/>
  <c r="BM137" i="17" s="1"/>
  <c r="AK137" i="17"/>
  <c r="AP137" i="17" s="1"/>
  <c r="BD137" i="17" s="1"/>
  <c r="BJ136" i="17"/>
  <c r="BI136" i="17"/>
  <c r="BH136" i="17"/>
  <c r="BF136" i="17"/>
  <c r="BC136" i="17"/>
  <c r="AY136" i="17"/>
  <c r="AR136" i="17"/>
  <c r="BN136" i="17" s="1"/>
  <c r="AQ136" i="17"/>
  <c r="AO136" i="17"/>
  <c r="AN136" i="17"/>
  <c r="AS136" i="17" s="1"/>
  <c r="BO136" i="17" s="1"/>
  <c r="AM136" i="17"/>
  <c r="AL136" i="17"/>
  <c r="AK136" i="17"/>
  <c r="AP136" i="17" s="1"/>
  <c r="BO135" i="17"/>
  <c r="BJ135" i="17"/>
  <c r="BI135" i="17"/>
  <c r="BH135" i="17"/>
  <c r="BF135" i="17"/>
  <c r="BC135" i="17"/>
  <c r="AY135" i="17"/>
  <c r="AO135" i="17" s="1"/>
  <c r="AQ135" i="17"/>
  <c r="AP135" i="17"/>
  <c r="AN135" i="17"/>
  <c r="AS135" i="17" s="1"/>
  <c r="AM135" i="17"/>
  <c r="AR135" i="17" s="1"/>
  <c r="BN135" i="17" s="1"/>
  <c r="AL135" i="17"/>
  <c r="AK135" i="17"/>
  <c r="BJ134" i="17"/>
  <c r="BI134" i="17"/>
  <c r="BH134" i="17"/>
  <c r="BF134" i="17"/>
  <c r="BC134" i="17"/>
  <c r="AY134" i="17"/>
  <c r="AO134" i="17" s="1"/>
  <c r="AS134" i="17"/>
  <c r="BO134" i="17" s="1"/>
  <c r="AP134" i="17"/>
  <c r="AN134" i="17"/>
  <c r="AM134" i="17"/>
  <c r="AR134" i="17" s="1"/>
  <c r="BN134" i="17" s="1"/>
  <c r="AL134" i="17"/>
  <c r="AQ134" i="17" s="1"/>
  <c r="AK134" i="17"/>
  <c r="BJ133" i="17"/>
  <c r="BI133" i="17"/>
  <c r="BH133" i="17"/>
  <c r="BF133" i="17"/>
  <c r="BC133" i="17"/>
  <c r="AY133" i="17"/>
  <c r="AS133" i="17"/>
  <c r="BO133" i="17" s="1"/>
  <c r="AR133" i="17"/>
  <c r="BN133" i="17" s="1"/>
  <c r="AO133" i="17"/>
  <c r="AN133" i="17"/>
  <c r="AM133" i="17"/>
  <c r="AL133" i="17"/>
  <c r="AQ133" i="17" s="1"/>
  <c r="AK133" i="17"/>
  <c r="AP133" i="17" s="1"/>
  <c r="BJ132" i="17"/>
  <c r="BI132" i="17"/>
  <c r="BH132" i="17"/>
  <c r="BF132" i="17"/>
  <c r="BD132" i="17"/>
  <c r="BC132" i="17"/>
  <c r="AY132" i="17"/>
  <c r="AR132" i="17"/>
  <c r="BN132" i="17" s="1"/>
  <c r="AQ132" i="17"/>
  <c r="AO132" i="17"/>
  <c r="AN132" i="17"/>
  <c r="AS132" i="17" s="1"/>
  <c r="BO132" i="17" s="1"/>
  <c r="AM132" i="17"/>
  <c r="AL132" i="17"/>
  <c r="AK132" i="17"/>
  <c r="AP132" i="17" s="1"/>
  <c r="BM132" i="17" s="1"/>
  <c r="BJ131" i="17"/>
  <c r="BI131" i="17"/>
  <c r="BH131" i="17"/>
  <c r="BF131" i="17"/>
  <c r="BC131" i="17"/>
  <c r="AY131" i="17"/>
  <c r="AO131" i="17" s="1"/>
  <c r="AQ131" i="17"/>
  <c r="AP131" i="17"/>
  <c r="AN131" i="17"/>
  <c r="AS131" i="17" s="1"/>
  <c r="BO131" i="17" s="1"/>
  <c r="AM131" i="17"/>
  <c r="AR131" i="17" s="1"/>
  <c r="BN131" i="17" s="1"/>
  <c r="AL131" i="17"/>
  <c r="AK131" i="17"/>
  <c r="BN130" i="17"/>
  <c r="BJ130" i="17"/>
  <c r="BI130" i="17"/>
  <c r="BH130" i="17"/>
  <c r="BF130" i="17"/>
  <c r="BC130" i="17"/>
  <c r="AY130" i="17"/>
  <c r="AO130" i="17" s="1"/>
  <c r="AS130" i="17"/>
  <c r="BO130" i="17" s="1"/>
  <c r="AP130" i="17"/>
  <c r="AN130" i="17"/>
  <c r="AM130" i="17"/>
  <c r="AR130" i="17" s="1"/>
  <c r="AL130" i="17"/>
  <c r="AQ130" i="17" s="1"/>
  <c r="AK130" i="17"/>
  <c r="BJ129" i="17"/>
  <c r="BI129" i="17"/>
  <c r="BH129" i="17"/>
  <c r="BF129" i="17"/>
  <c r="BC129" i="17"/>
  <c r="AY129" i="17"/>
  <c r="AS129" i="17"/>
  <c r="BO129" i="17" s="1"/>
  <c r="AR129" i="17"/>
  <c r="BN129" i="17" s="1"/>
  <c r="AO129" i="17"/>
  <c r="AN129" i="17"/>
  <c r="AM129" i="17"/>
  <c r="AL129" i="17"/>
  <c r="AQ129" i="17" s="1"/>
  <c r="BM129" i="17" s="1"/>
  <c r="AK129" i="17"/>
  <c r="AP129" i="17" s="1"/>
  <c r="BD129" i="17" s="1"/>
  <c r="BJ128" i="17"/>
  <c r="BI128" i="17"/>
  <c r="BH128" i="17"/>
  <c r="BF128" i="17"/>
  <c r="BC128" i="17"/>
  <c r="AY128" i="17"/>
  <c r="AO128" i="17" s="1"/>
  <c r="AR128" i="17"/>
  <c r="BN128" i="17" s="1"/>
  <c r="AQ128" i="17"/>
  <c r="AN128" i="17"/>
  <c r="AS128" i="17" s="1"/>
  <c r="BO128" i="17" s="1"/>
  <c r="AM128" i="17"/>
  <c r="AL128" i="17"/>
  <c r="AK128" i="17"/>
  <c r="AP128" i="17" s="1"/>
  <c r="BM128" i="17" s="1"/>
  <c r="BO127" i="17"/>
  <c r="BJ127" i="17"/>
  <c r="BI127" i="17"/>
  <c r="BH127" i="17"/>
  <c r="BF127" i="17"/>
  <c r="BC127" i="17"/>
  <c r="AY127" i="17"/>
  <c r="AO127" i="17" s="1"/>
  <c r="AP127" i="17"/>
  <c r="BM127" i="17" s="1"/>
  <c r="AN127" i="17"/>
  <c r="AS127" i="17" s="1"/>
  <c r="AM127" i="17"/>
  <c r="AR127" i="17" s="1"/>
  <c r="BN127" i="17" s="1"/>
  <c r="AL127" i="17"/>
  <c r="AQ127" i="17" s="1"/>
  <c r="AK127" i="17"/>
  <c r="BJ126" i="17"/>
  <c r="BI126" i="17"/>
  <c r="BH126" i="17"/>
  <c r="BF126" i="17"/>
  <c r="BC126" i="17"/>
  <c r="AY126" i="17"/>
  <c r="AO126" i="17" s="1"/>
  <c r="AS126" i="17"/>
  <c r="BO126" i="17" s="1"/>
  <c r="AP126" i="17"/>
  <c r="BD126" i="17" s="1"/>
  <c r="AN126" i="17"/>
  <c r="AM126" i="17"/>
  <c r="AR126" i="17" s="1"/>
  <c r="BN126" i="17" s="1"/>
  <c r="AL126" i="17"/>
  <c r="AQ126" i="17" s="1"/>
  <c r="AK126" i="17"/>
  <c r="BM125" i="17"/>
  <c r="BJ125" i="17"/>
  <c r="BI125" i="17"/>
  <c r="BH125" i="17"/>
  <c r="BF125" i="17"/>
  <c r="BD125" i="17"/>
  <c r="BC125" i="17"/>
  <c r="AY125" i="17"/>
  <c r="AS125" i="17"/>
  <c r="BO125" i="17" s="1"/>
  <c r="AR125" i="17"/>
  <c r="BN125" i="17" s="1"/>
  <c r="AO125" i="17"/>
  <c r="AN125" i="17"/>
  <c r="AM125" i="17"/>
  <c r="AL125" i="17"/>
  <c r="AQ125" i="17" s="1"/>
  <c r="AK125" i="17"/>
  <c r="AP125" i="17" s="1"/>
  <c r="BJ124" i="17"/>
  <c r="BI124" i="17"/>
  <c r="BH124" i="17"/>
  <c r="BF124" i="17"/>
  <c r="BD124" i="17"/>
  <c r="BC124" i="17"/>
  <c r="AY124" i="17"/>
  <c r="AQ124" i="17"/>
  <c r="AO124" i="17"/>
  <c r="AN124" i="17"/>
  <c r="AS124" i="17" s="1"/>
  <c r="BO124" i="17" s="1"/>
  <c r="AM124" i="17"/>
  <c r="AR124" i="17" s="1"/>
  <c r="BN124" i="17" s="1"/>
  <c r="AL124" i="17"/>
  <c r="AK124" i="17"/>
  <c r="AP124" i="17" s="1"/>
  <c r="BJ123" i="17"/>
  <c r="BI123" i="17"/>
  <c r="BH123" i="17"/>
  <c r="BF123" i="17"/>
  <c r="BC123" i="17"/>
  <c r="AY123" i="17"/>
  <c r="AQ123" i="17"/>
  <c r="AO123" i="17"/>
  <c r="AN123" i="17"/>
  <c r="AS123" i="17" s="1"/>
  <c r="BO123" i="17" s="1"/>
  <c r="AM123" i="17"/>
  <c r="AR123" i="17" s="1"/>
  <c r="BN123" i="17" s="1"/>
  <c r="AL123" i="17"/>
  <c r="AK123" i="17"/>
  <c r="AP123" i="17" s="1"/>
  <c r="BJ122" i="17"/>
  <c r="BI122" i="17"/>
  <c r="BH122" i="17"/>
  <c r="BF122" i="17"/>
  <c r="BD122" i="17"/>
  <c r="BC122" i="17"/>
  <c r="AY122" i="17"/>
  <c r="AO122" i="17" s="1"/>
  <c r="AR122" i="17"/>
  <c r="BN122" i="17" s="1"/>
  <c r="AQ122" i="17"/>
  <c r="AP122" i="17"/>
  <c r="BM122" i="17" s="1"/>
  <c r="AN122" i="17"/>
  <c r="AS122" i="17" s="1"/>
  <c r="BO122" i="17" s="1"/>
  <c r="AM122" i="17"/>
  <c r="AL122" i="17"/>
  <c r="AK122" i="17"/>
  <c r="BO121" i="17"/>
  <c r="BJ121" i="17"/>
  <c r="BI121" i="17"/>
  <c r="BH121" i="17"/>
  <c r="BF121" i="17"/>
  <c r="BC121" i="17"/>
  <c r="AY121" i="17"/>
  <c r="AO121" i="17" s="1"/>
  <c r="AS121" i="17"/>
  <c r="AQ121" i="17"/>
  <c r="AP121" i="17"/>
  <c r="BM121" i="17" s="1"/>
  <c r="AN121" i="17"/>
  <c r="AM121" i="17"/>
  <c r="AR121" i="17" s="1"/>
  <c r="BN121" i="17" s="1"/>
  <c r="AL121" i="17"/>
  <c r="AK121" i="17"/>
  <c r="BN120" i="17"/>
  <c r="BJ120" i="17"/>
  <c r="BI120" i="17"/>
  <c r="BH120" i="17"/>
  <c r="BF120" i="17"/>
  <c r="BC120" i="17"/>
  <c r="AY120" i="17"/>
  <c r="AO120" i="17" s="1"/>
  <c r="AS120" i="17"/>
  <c r="BO120" i="17" s="1"/>
  <c r="AR120" i="17"/>
  <c r="AP120" i="17"/>
  <c r="AN120" i="17"/>
  <c r="AM120" i="17"/>
  <c r="AL120" i="17"/>
  <c r="AQ120" i="17" s="1"/>
  <c r="AK120" i="17"/>
  <c r="BJ119" i="17"/>
  <c r="BI119" i="17"/>
  <c r="BH119" i="17"/>
  <c r="BF119" i="17"/>
  <c r="BC119" i="17"/>
  <c r="AY119" i="17"/>
  <c r="AS119" i="17"/>
  <c r="BO119" i="17" s="1"/>
  <c r="AR119" i="17"/>
  <c r="BN119" i="17" s="1"/>
  <c r="AQ119" i="17"/>
  <c r="AO119" i="17"/>
  <c r="AN119" i="17"/>
  <c r="AM119" i="17"/>
  <c r="AL119" i="17"/>
  <c r="AK119" i="17"/>
  <c r="AP119" i="17" s="1"/>
  <c r="BD119" i="17" s="1"/>
  <c r="BJ118" i="17"/>
  <c r="BI118" i="17"/>
  <c r="BH118" i="17"/>
  <c r="BF118" i="17"/>
  <c r="BD118" i="17"/>
  <c r="BC118" i="17"/>
  <c r="AY118" i="17"/>
  <c r="AO118" i="17" s="1"/>
  <c r="AR118" i="17"/>
  <c r="BN118" i="17" s="1"/>
  <c r="AQ118" i="17"/>
  <c r="AP118" i="17"/>
  <c r="BM118" i="17" s="1"/>
  <c r="AN118" i="17"/>
  <c r="AS118" i="17" s="1"/>
  <c r="BO118" i="17" s="1"/>
  <c r="AM118" i="17"/>
  <c r="AL118" i="17"/>
  <c r="AK118" i="17"/>
  <c r="BO117" i="17"/>
  <c r="BJ117" i="17"/>
  <c r="BI117" i="17"/>
  <c r="BH117" i="17"/>
  <c r="BF117" i="17"/>
  <c r="BC117" i="17"/>
  <c r="AY117" i="17"/>
  <c r="AO117" i="17" s="1"/>
  <c r="AS117" i="17"/>
  <c r="AQ117" i="17"/>
  <c r="AP117" i="17"/>
  <c r="BM117" i="17" s="1"/>
  <c r="AN117" i="17"/>
  <c r="AM117" i="17"/>
  <c r="AR117" i="17" s="1"/>
  <c r="BN117" i="17" s="1"/>
  <c r="AL117" i="17"/>
  <c r="AK117" i="17"/>
  <c r="BN116" i="17"/>
  <c r="BJ116" i="17"/>
  <c r="BI116" i="17"/>
  <c r="BH116" i="17"/>
  <c r="BF116" i="17"/>
  <c r="BC116" i="17"/>
  <c r="AY116" i="17"/>
  <c r="AO116" i="17" s="1"/>
  <c r="AS116" i="17"/>
  <c r="BO116" i="17" s="1"/>
  <c r="AR116" i="17"/>
  <c r="AP116" i="17"/>
  <c r="AN116" i="17"/>
  <c r="AM116" i="17"/>
  <c r="AL116" i="17"/>
  <c r="AQ116" i="17" s="1"/>
  <c r="AK116" i="17"/>
  <c r="BJ115" i="17"/>
  <c r="BI115" i="17"/>
  <c r="BH115" i="17"/>
  <c r="BF115" i="17"/>
  <c r="BC115" i="17"/>
  <c r="AY115" i="17"/>
  <c r="AS115" i="17"/>
  <c r="BO115" i="17" s="1"/>
  <c r="AR115" i="17"/>
  <c r="BN115" i="17" s="1"/>
  <c r="AQ115" i="17"/>
  <c r="AO115" i="17"/>
  <c r="AN115" i="17"/>
  <c r="AM115" i="17"/>
  <c r="AL115" i="17"/>
  <c r="AK115" i="17"/>
  <c r="AP115" i="17" s="1"/>
  <c r="BJ114" i="17"/>
  <c r="BI114" i="17"/>
  <c r="BH114" i="17"/>
  <c r="BF114" i="17"/>
  <c r="BD114" i="17"/>
  <c r="BC114" i="17"/>
  <c r="AY114" i="17"/>
  <c r="AO114" i="17" s="1"/>
  <c r="AR114" i="17"/>
  <c r="BN114" i="17" s="1"/>
  <c r="AQ114" i="17"/>
  <c r="AP114" i="17"/>
  <c r="BM114" i="17" s="1"/>
  <c r="AN114" i="17"/>
  <c r="AS114" i="17" s="1"/>
  <c r="BO114" i="17" s="1"/>
  <c r="AM114" i="17"/>
  <c r="AL114" i="17"/>
  <c r="AK114" i="17"/>
  <c r="BO113" i="17"/>
  <c r="BJ113" i="17"/>
  <c r="BI113" i="17"/>
  <c r="BH113" i="17"/>
  <c r="BF113" i="17"/>
  <c r="BC113" i="17"/>
  <c r="AY113" i="17"/>
  <c r="AO113" i="17" s="1"/>
  <c r="AS113" i="17"/>
  <c r="AQ113" i="17"/>
  <c r="AP113" i="17"/>
  <c r="BM113" i="17" s="1"/>
  <c r="AN113" i="17"/>
  <c r="AM113" i="17"/>
  <c r="AR113" i="17" s="1"/>
  <c r="BN113" i="17" s="1"/>
  <c r="AL113" i="17"/>
  <c r="AK113" i="17"/>
  <c r="BN112" i="17"/>
  <c r="BJ112" i="17"/>
  <c r="BI112" i="17"/>
  <c r="BH112" i="17"/>
  <c r="BF112" i="17"/>
  <c r="BC112" i="17"/>
  <c r="AY112" i="17"/>
  <c r="AO112" i="17" s="1"/>
  <c r="AS112" i="17"/>
  <c r="BO112" i="17" s="1"/>
  <c r="AR112" i="17"/>
  <c r="AP112" i="17"/>
  <c r="AN112" i="17"/>
  <c r="AM112" i="17"/>
  <c r="AL112" i="17"/>
  <c r="AQ112" i="17" s="1"/>
  <c r="AK112" i="17"/>
  <c r="BJ111" i="17"/>
  <c r="BI111" i="17"/>
  <c r="BH111" i="17"/>
  <c r="BF111" i="17"/>
  <c r="BC111" i="17"/>
  <c r="AY111" i="17"/>
  <c r="AS111" i="17"/>
  <c r="BO111" i="17" s="1"/>
  <c r="AR111" i="17"/>
  <c r="BN111" i="17" s="1"/>
  <c r="AQ111" i="17"/>
  <c r="AO111" i="17"/>
  <c r="AN111" i="17"/>
  <c r="AM111" i="17"/>
  <c r="AL111" i="17"/>
  <c r="AK111" i="17"/>
  <c r="AP111" i="17" s="1"/>
  <c r="BD111" i="17" s="1"/>
  <c r="BJ110" i="17"/>
  <c r="BI110" i="17"/>
  <c r="BH110" i="17"/>
  <c r="BF110" i="17"/>
  <c r="BD110" i="17"/>
  <c r="BC110" i="17"/>
  <c r="AY110" i="17"/>
  <c r="AO110" i="17" s="1"/>
  <c r="AR110" i="17"/>
  <c r="BN110" i="17" s="1"/>
  <c r="AQ110" i="17"/>
  <c r="AP110" i="17"/>
  <c r="BM110" i="17" s="1"/>
  <c r="AN110" i="17"/>
  <c r="AS110" i="17" s="1"/>
  <c r="BO110" i="17" s="1"/>
  <c r="AM110" i="17"/>
  <c r="AL110" i="17"/>
  <c r="AK110" i="17"/>
  <c r="BO109" i="17"/>
  <c r="BJ109" i="17"/>
  <c r="BI109" i="17"/>
  <c r="BH109" i="17"/>
  <c r="BF109" i="17"/>
  <c r="BC109" i="17"/>
  <c r="AY109" i="17"/>
  <c r="AO109" i="17" s="1"/>
  <c r="AS109" i="17"/>
  <c r="AQ109" i="17"/>
  <c r="AP109" i="17"/>
  <c r="AN109" i="17"/>
  <c r="AM109" i="17"/>
  <c r="AR109" i="17" s="1"/>
  <c r="BN109" i="17" s="1"/>
  <c r="AL109" i="17"/>
  <c r="AK109" i="17"/>
  <c r="BN108" i="17"/>
  <c r="BJ108" i="17"/>
  <c r="BI108" i="17"/>
  <c r="BH108" i="17"/>
  <c r="BF108" i="17"/>
  <c r="BC108" i="17"/>
  <c r="AY108" i="17"/>
  <c r="AO108" i="17" s="1"/>
  <c r="AS108" i="17"/>
  <c r="BO108" i="17" s="1"/>
  <c r="AR108" i="17"/>
  <c r="AP108" i="17"/>
  <c r="AN108" i="17"/>
  <c r="AM108" i="17"/>
  <c r="AL108" i="17"/>
  <c r="AQ108" i="17" s="1"/>
  <c r="AK108" i="17"/>
  <c r="BJ107" i="17"/>
  <c r="BI107" i="17"/>
  <c r="BH107" i="17"/>
  <c r="BF107" i="17"/>
  <c r="BC107" i="17"/>
  <c r="AY107" i="17"/>
  <c r="AS107" i="17"/>
  <c r="BO107" i="17" s="1"/>
  <c r="AR107" i="17"/>
  <c r="BN107" i="17" s="1"/>
  <c r="AO107" i="17"/>
  <c r="AN107" i="17"/>
  <c r="AM107" i="17"/>
  <c r="AL107" i="17"/>
  <c r="AQ107" i="17" s="1"/>
  <c r="BM107" i="17" s="1"/>
  <c r="AK107" i="17"/>
  <c r="AP107" i="17" s="1"/>
  <c r="BD107" i="17" s="1"/>
  <c r="BJ106" i="17"/>
  <c r="BI106" i="17"/>
  <c r="BH106" i="17"/>
  <c r="BF106" i="17"/>
  <c r="BC106" i="17"/>
  <c r="AY106" i="17"/>
  <c r="AR106" i="17"/>
  <c r="BN106" i="17" s="1"/>
  <c r="AQ106" i="17"/>
  <c r="AO106" i="17"/>
  <c r="AN106" i="17"/>
  <c r="AS106" i="17" s="1"/>
  <c r="BO106" i="17" s="1"/>
  <c r="AM106" i="17"/>
  <c r="AL106" i="17"/>
  <c r="AK106" i="17"/>
  <c r="AP106" i="17" s="1"/>
  <c r="BM106" i="17" s="1"/>
  <c r="BO105" i="17"/>
  <c r="BJ105" i="17"/>
  <c r="BI105" i="17"/>
  <c r="BH105" i="17"/>
  <c r="BF105" i="17"/>
  <c r="BC105" i="17"/>
  <c r="AY105" i="17"/>
  <c r="AO105" i="17" s="1"/>
  <c r="AQ105" i="17"/>
  <c r="AP105" i="17"/>
  <c r="BM105" i="17" s="1"/>
  <c r="AN105" i="17"/>
  <c r="AS105" i="17" s="1"/>
  <c r="AM105" i="17"/>
  <c r="AR105" i="17" s="1"/>
  <c r="BN105" i="17" s="1"/>
  <c r="AL105" i="17"/>
  <c r="AK105" i="17"/>
  <c r="BN104" i="17"/>
  <c r="BJ104" i="17"/>
  <c r="BI104" i="17"/>
  <c r="BH104" i="17"/>
  <c r="BF104" i="17"/>
  <c r="BC104" i="17"/>
  <c r="AY104" i="17"/>
  <c r="AO104" i="17" s="1"/>
  <c r="AS104" i="17"/>
  <c r="BO104" i="17" s="1"/>
  <c r="AP104" i="17"/>
  <c r="AN104" i="17"/>
  <c r="AM104" i="17"/>
  <c r="AR104" i="17" s="1"/>
  <c r="AL104" i="17"/>
  <c r="AQ104" i="17" s="1"/>
  <c r="AK104" i="17"/>
  <c r="BJ103" i="17"/>
  <c r="BI103" i="17"/>
  <c r="BH103" i="17"/>
  <c r="BF103" i="17"/>
  <c r="BC103" i="17"/>
  <c r="AY103" i="17"/>
  <c r="AS103" i="17"/>
  <c r="BO103" i="17" s="1"/>
  <c r="AR103" i="17"/>
  <c r="BN103" i="17" s="1"/>
  <c r="AO103" i="17"/>
  <c r="AN103" i="17"/>
  <c r="AM103" i="17"/>
  <c r="AL103" i="17"/>
  <c r="AQ103" i="17" s="1"/>
  <c r="AK103" i="17"/>
  <c r="AP103" i="17" s="1"/>
  <c r="BD103" i="17" s="1"/>
  <c r="BJ102" i="17"/>
  <c r="BI102" i="17"/>
  <c r="BH102" i="17"/>
  <c r="BF102" i="17"/>
  <c r="BC102" i="17"/>
  <c r="AY102" i="17"/>
  <c r="AO102" i="17" s="1"/>
  <c r="AR102" i="17"/>
  <c r="BN102" i="17" s="1"/>
  <c r="AQ102" i="17"/>
  <c r="AN102" i="17"/>
  <c r="AS102" i="17" s="1"/>
  <c r="BO102" i="17" s="1"/>
  <c r="AM102" i="17"/>
  <c r="AL102" i="17"/>
  <c r="AK102" i="17"/>
  <c r="AP102" i="17" s="1"/>
  <c r="BM102" i="17" s="1"/>
  <c r="BO101" i="17"/>
  <c r="BJ101" i="17"/>
  <c r="BI101" i="17"/>
  <c r="BH101" i="17"/>
  <c r="BF101" i="17"/>
  <c r="BC101" i="17"/>
  <c r="AY101" i="17"/>
  <c r="AO101" i="17" s="1"/>
  <c r="AQ101" i="17"/>
  <c r="AP101" i="17"/>
  <c r="AN101" i="17"/>
  <c r="AS101" i="17" s="1"/>
  <c r="AM101" i="17"/>
  <c r="AR101" i="17" s="1"/>
  <c r="BN101" i="17" s="1"/>
  <c r="AL101" i="17"/>
  <c r="AK101" i="17"/>
  <c r="BJ100" i="17"/>
  <c r="BI100" i="17"/>
  <c r="BH100" i="17"/>
  <c r="BF100" i="17"/>
  <c r="BC100" i="17"/>
  <c r="AY100" i="17"/>
  <c r="AO100" i="17" s="1"/>
  <c r="AS100" i="17"/>
  <c r="BO100" i="17" s="1"/>
  <c r="AN100" i="17"/>
  <c r="AM100" i="17"/>
  <c r="AR100" i="17" s="1"/>
  <c r="BN100" i="17" s="1"/>
  <c r="AL100" i="17"/>
  <c r="AQ100" i="17" s="1"/>
  <c r="AK100" i="17"/>
  <c r="AP100" i="17" s="1"/>
  <c r="BJ99" i="17"/>
  <c r="BI99" i="17"/>
  <c r="BH99" i="17"/>
  <c r="BF99" i="17"/>
  <c r="BD99" i="17"/>
  <c r="BC99" i="17"/>
  <c r="AY99" i="17"/>
  <c r="AS99" i="17"/>
  <c r="BO99" i="17" s="1"/>
  <c r="AR99" i="17"/>
  <c r="BN99" i="17" s="1"/>
  <c r="AO99" i="17"/>
  <c r="AN99" i="17"/>
  <c r="AM99" i="17"/>
  <c r="AL99" i="17"/>
  <c r="AQ99" i="17" s="1"/>
  <c r="AK99" i="17"/>
  <c r="AP99" i="17" s="1"/>
  <c r="BJ98" i="17"/>
  <c r="BI98" i="17"/>
  <c r="BH98" i="17"/>
  <c r="BF98" i="17"/>
  <c r="BC98" i="17"/>
  <c r="AY98" i="17"/>
  <c r="AO98" i="17" s="1"/>
  <c r="AQ98" i="17"/>
  <c r="AN98" i="17"/>
  <c r="AS98" i="17" s="1"/>
  <c r="BO98" i="17" s="1"/>
  <c r="AM98" i="17"/>
  <c r="AR98" i="17" s="1"/>
  <c r="BN98" i="17" s="1"/>
  <c r="AL98" i="17"/>
  <c r="AK98" i="17"/>
  <c r="AP98" i="17" s="1"/>
  <c r="BM98" i="17" s="1"/>
  <c r="BO97" i="17"/>
  <c r="BJ97" i="17"/>
  <c r="BI97" i="17"/>
  <c r="BH97" i="17"/>
  <c r="BF97" i="17"/>
  <c r="BC97" i="17"/>
  <c r="AY97" i="17"/>
  <c r="AO97" i="17" s="1"/>
  <c r="AP97" i="17"/>
  <c r="AN97" i="17"/>
  <c r="AS97" i="17" s="1"/>
  <c r="AM97" i="17"/>
  <c r="AR97" i="17" s="1"/>
  <c r="BN97" i="17" s="1"/>
  <c r="AL97" i="17"/>
  <c r="AQ97" i="17" s="1"/>
  <c r="AK97" i="17"/>
  <c r="BJ96" i="17"/>
  <c r="BI96" i="17"/>
  <c r="BH96" i="17"/>
  <c r="BF96" i="17"/>
  <c r="BC96" i="17"/>
  <c r="AY96" i="17"/>
  <c r="AS96" i="17"/>
  <c r="BO96" i="17" s="1"/>
  <c r="AO96" i="17"/>
  <c r="AN96" i="17"/>
  <c r="AM96" i="17"/>
  <c r="AR96" i="17" s="1"/>
  <c r="BN96" i="17" s="1"/>
  <c r="AL96" i="17"/>
  <c r="AQ96" i="17" s="1"/>
  <c r="AK96" i="17"/>
  <c r="AP96" i="17" s="1"/>
  <c r="BJ95" i="17"/>
  <c r="BI95" i="17"/>
  <c r="BH95" i="17"/>
  <c r="BF95" i="17"/>
  <c r="BC95" i="17"/>
  <c r="AY95" i="17"/>
  <c r="AR95" i="17"/>
  <c r="BN95" i="17" s="1"/>
  <c r="AO95" i="17"/>
  <c r="AN95" i="17"/>
  <c r="AS95" i="17" s="1"/>
  <c r="BO95" i="17" s="1"/>
  <c r="AM95" i="17"/>
  <c r="AL95" i="17"/>
  <c r="AQ95" i="17" s="1"/>
  <c r="AK95" i="17"/>
  <c r="AP95" i="17" s="1"/>
  <c r="BM95" i="17" s="1"/>
  <c r="BO94" i="17"/>
  <c r="BJ94" i="17"/>
  <c r="BI94" i="17"/>
  <c r="BH94" i="17"/>
  <c r="BF94" i="17"/>
  <c r="BD94" i="17"/>
  <c r="BC94" i="17"/>
  <c r="AY94" i="17"/>
  <c r="AQ94" i="17"/>
  <c r="AO94" i="17"/>
  <c r="AN94" i="17"/>
  <c r="AS94" i="17" s="1"/>
  <c r="AM94" i="17"/>
  <c r="AR94" i="17" s="1"/>
  <c r="BN94" i="17" s="1"/>
  <c r="AL94" i="17"/>
  <c r="AK94" i="17"/>
  <c r="AP94" i="17" s="1"/>
  <c r="BO93" i="17"/>
  <c r="BN93" i="17"/>
  <c r="BJ93" i="17"/>
  <c r="BI93" i="17"/>
  <c r="BH93" i="17"/>
  <c r="BF93" i="17"/>
  <c r="BC93" i="17"/>
  <c r="AY93" i="17"/>
  <c r="AP93" i="17"/>
  <c r="AO93" i="17"/>
  <c r="AN93" i="17"/>
  <c r="AS93" i="17" s="1"/>
  <c r="AM93" i="17"/>
  <c r="AR93" i="17" s="1"/>
  <c r="AL93" i="17"/>
  <c r="AQ93" i="17" s="1"/>
  <c r="AK93" i="17"/>
  <c r="BJ92" i="17"/>
  <c r="BI92" i="17"/>
  <c r="BH92" i="17"/>
  <c r="BF92" i="17"/>
  <c r="BC92" i="17"/>
  <c r="AY92" i="17"/>
  <c r="AS92" i="17"/>
  <c r="BO92" i="17" s="1"/>
  <c r="AO92" i="17"/>
  <c r="AN92" i="17"/>
  <c r="AM92" i="17"/>
  <c r="AR92" i="17" s="1"/>
  <c r="BN92" i="17" s="1"/>
  <c r="AL92" i="17"/>
  <c r="AQ92" i="17" s="1"/>
  <c r="AK92" i="17"/>
  <c r="AP92" i="17" s="1"/>
  <c r="BD92" i="17" s="1"/>
  <c r="BJ91" i="17"/>
  <c r="BI91" i="17"/>
  <c r="BH91" i="17"/>
  <c r="BF91" i="17"/>
  <c r="BC91" i="17"/>
  <c r="AY91" i="17"/>
  <c r="AR91" i="17"/>
  <c r="BN91" i="17" s="1"/>
  <c r="AO91" i="17"/>
  <c r="AN91" i="17"/>
  <c r="AS91" i="17" s="1"/>
  <c r="BO91" i="17" s="1"/>
  <c r="AM91" i="17"/>
  <c r="AL91" i="17"/>
  <c r="AQ91" i="17" s="1"/>
  <c r="AK91" i="17"/>
  <c r="AP91" i="17" s="1"/>
  <c r="BO90" i="17"/>
  <c r="BJ90" i="17"/>
  <c r="BI90" i="17"/>
  <c r="BH90" i="17"/>
  <c r="BF90" i="17"/>
  <c r="BC90" i="17"/>
  <c r="AY90" i="17"/>
  <c r="AQ90" i="17"/>
  <c r="AO90" i="17"/>
  <c r="AN90" i="17"/>
  <c r="AS90" i="17" s="1"/>
  <c r="AM90" i="17"/>
  <c r="AR90" i="17" s="1"/>
  <c r="BN90" i="17" s="1"/>
  <c r="AL90" i="17"/>
  <c r="AK90" i="17"/>
  <c r="AP90" i="17" s="1"/>
  <c r="BJ89" i="17"/>
  <c r="BI89" i="17"/>
  <c r="BH89" i="17"/>
  <c r="BF89" i="17"/>
  <c r="BC89" i="17"/>
  <c r="AY89" i="17"/>
  <c r="AO89" i="17" s="1"/>
  <c r="AP89" i="17"/>
  <c r="AN89" i="17"/>
  <c r="AS89" i="17" s="1"/>
  <c r="BO89" i="17" s="1"/>
  <c r="AM89" i="17"/>
  <c r="AR89" i="17" s="1"/>
  <c r="BN89" i="17" s="1"/>
  <c r="AL89" i="17"/>
  <c r="AQ89" i="17" s="1"/>
  <c r="AK89" i="17"/>
  <c r="BJ88" i="17"/>
  <c r="BI88" i="17"/>
  <c r="BH88" i="17"/>
  <c r="BF88" i="17"/>
  <c r="BC88" i="17"/>
  <c r="AY88" i="17"/>
  <c r="AS88" i="17"/>
  <c r="BO88" i="17" s="1"/>
  <c r="AO88" i="17"/>
  <c r="AN88" i="17"/>
  <c r="AM88" i="17"/>
  <c r="AR88" i="17" s="1"/>
  <c r="BN88" i="17" s="1"/>
  <c r="AL88" i="17"/>
  <c r="AQ88" i="17" s="1"/>
  <c r="AK88" i="17"/>
  <c r="AP88" i="17" s="1"/>
  <c r="BD88" i="17" s="1"/>
  <c r="BJ87" i="17"/>
  <c r="BI87" i="17"/>
  <c r="BH87" i="17"/>
  <c r="BF87" i="17"/>
  <c r="BC87" i="17"/>
  <c r="AY87" i="17"/>
  <c r="AR87" i="17"/>
  <c r="BN87" i="17" s="1"/>
  <c r="AO87" i="17"/>
  <c r="AN87" i="17"/>
  <c r="AS87" i="17" s="1"/>
  <c r="BO87" i="17" s="1"/>
  <c r="AM87" i="17"/>
  <c r="AL87" i="17"/>
  <c r="AQ87" i="17" s="1"/>
  <c r="AK87" i="17"/>
  <c r="AP87" i="17" s="1"/>
  <c r="BM87" i="17" s="1"/>
  <c r="BO86" i="17"/>
  <c r="BJ86" i="17"/>
  <c r="BI86" i="17"/>
  <c r="BH86" i="17"/>
  <c r="BF86" i="17"/>
  <c r="BC86" i="17"/>
  <c r="AY86" i="17"/>
  <c r="AQ86" i="17"/>
  <c r="AO86" i="17"/>
  <c r="AN86" i="17"/>
  <c r="AS86" i="17" s="1"/>
  <c r="AM86" i="17"/>
  <c r="AR86" i="17" s="1"/>
  <c r="BN86" i="17" s="1"/>
  <c r="AL86" i="17"/>
  <c r="AK86" i="17"/>
  <c r="AP86" i="17" s="1"/>
  <c r="BJ85" i="17"/>
  <c r="BI85" i="17"/>
  <c r="BH85" i="17"/>
  <c r="BF85" i="17"/>
  <c r="BC85" i="17"/>
  <c r="AY85" i="17"/>
  <c r="AO85" i="17" s="1"/>
  <c r="AP85" i="17"/>
  <c r="AN85" i="17"/>
  <c r="AS85" i="17" s="1"/>
  <c r="BO85" i="17" s="1"/>
  <c r="AM85" i="17"/>
  <c r="AR85" i="17" s="1"/>
  <c r="BN85" i="17" s="1"/>
  <c r="AL85" i="17"/>
  <c r="AQ85" i="17" s="1"/>
  <c r="AK85" i="17"/>
  <c r="BJ84" i="17"/>
  <c r="BI84" i="17"/>
  <c r="BH84" i="17"/>
  <c r="BF84" i="17"/>
  <c r="BC84" i="17"/>
  <c r="AY84" i="17"/>
  <c r="AS84" i="17"/>
  <c r="BO84" i="17" s="1"/>
  <c r="AO84" i="17"/>
  <c r="AN84" i="17"/>
  <c r="AM84" i="17"/>
  <c r="AR84" i="17" s="1"/>
  <c r="BN84" i="17" s="1"/>
  <c r="AL84" i="17"/>
  <c r="AQ84" i="17" s="1"/>
  <c r="AK84" i="17"/>
  <c r="AP84" i="17" s="1"/>
  <c r="BD84" i="17" s="1"/>
  <c r="BJ83" i="17"/>
  <c r="BI83" i="17"/>
  <c r="BH83" i="17"/>
  <c r="BF83" i="17"/>
  <c r="BC83" i="17"/>
  <c r="AY83" i="17"/>
  <c r="AR83" i="17"/>
  <c r="BN83" i="17" s="1"/>
  <c r="AO83" i="17"/>
  <c r="AN83" i="17"/>
  <c r="AS83" i="17" s="1"/>
  <c r="BO83" i="17" s="1"/>
  <c r="AM83" i="17"/>
  <c r="AL83" i="17"/>
  <c r="AQ83" i="17" s="1"/>
  <c r="AK83" i="17"/>
  <c r="AP83" i="17" s="1"/>
  <c r="BO82" i="17"/>
  <c r="BJ82" i="17"/>
  <c r="BI82" i="17"/>
  <c r="BH82" i="17"/>
  <c r="BF82" i="17"/>
  <c r="BC82" i="17"/>
  <c r="AY82" i="17"/>
  <c r="AQ82" i="17"/>
  <c r="AO82" i="17"/>
  <c r="AN82" i="17"/>
  <c r="AS82" i="17" s="1"/>
  <c r="AM82" i="17"/>
  <c r="AR82" i="17" s="1"/>
  <c r="BN82" i="17" s="1"/>
  <c r="AL82" i="17"/>
  <c r="AK82" i="17"/>
  <c r="AP82" i="17" s="1"/>
  <c r="BN81" i="17"/>
  <c r="BJ81" i="17"/>
  <c r="BI81" i="17"/>
  <c r="BH81" i="17"/>
  <c r="BF81" i="17"/>
  <c r="BC81" i="17"/>
  <c r="AY81" i="17"/>
  <c r="AO81" i="17" s="1"/>
  <c r="AP81" i="17"/>
  <c r="AN81" i="17"/>
  <c r="AS81" i="17" s="1"/>
  <c r="BO81" i="17" s="1"/>
  <c r="AM81" i="17"/>
  <c r="AR81" i="17" s="1"/>
  <c r="AL81" i="17"/>
  <c r="AQ81" i="17" s="1"/>
  <c r="AK81" i="17"/>
  <c r="BJ80" i="17"/>
  <c r="BI80" i="17"/>
  <c r="BH80" i="17"/>
  <c r="BF80" i="17"/>
  <c r="BC80" i="17"/>
  <c r="AY80" i="17"/>
  <c r="AS80" i="17"/>
  <c r="BO80" i="17" s="1"/>
  <c r="AO80" i="17"/>
  <c r="AN80" i="17"/>
  <c r="AM80" i="17"/>
  <c r="AR80" i="17" s="1"/>
  <c r="BN80" i="17" s="1"/>
  <c r="AL80" i="17"/>
  <c r="AQ80" i="17" s="1"/>
  <c r="AK80" i="17"/>
  <c r="AP80" i="17" s="1"/>
  <c r="BD80" i="17" s="1"/>
  <c r="BJ79" i="17"/>
  <c r="BI79" i="17"/>
  <c r="BH79" i="17"/>
  <c r="BF79" i="17"/>
  <c r="BC79" i="17"/>
  <c r="AY79" i="17"/>
  <c r="AR79" i="17"/>
  <c r="BN79" i="17" s="1"/>
  <c r="AO79" i="17"/>
  <c r="AN79" i="17"/>
  <c r="AS79" i="17" s="1"/>
  <c r="BO79" i="17" s="1"/>
  <c r="AM79" i="17"/>
  <c r="AL79" i="17"/>
  <c r="AQ79" i="17" s="1"/>
  <c r="AK79" i="17"/>
  <c r="AP79" i="17" s="1"/>
  <c r="BJ78" i="17"/>
  <c r="BI78" i="17"/>
  <c r="BH78" i="17"/>
  <c r="BF78" i="17"/>
  <c r="BC78" i="17"/>
  <c r="AY78" i="17"/>
  <c r="AQ78" i="17"/>
  <c r="AO78" i="17"/>
  <c r="AN78" i="17"/>
  <c r="AS78" i="17" s="1"/>
  <c r="BO78" i="17" s="1"/>
  <c r="AM78" i="17"/>
  <c r="AR78" i="17" s="1"/>
  <c r="BN78" i="17" s="1"/>
  <c r="AL78" i="17"/>
  <c r="AK78" i="17"/>
  <c r="AP78" i="17" s="1"/>
  <c r="BN77" i="17"/>
  <c r="BJ77" i="17"/>
  <c r="BI77" i="17"/>
  <c r="BH77" i="17"/>
  <c r="BF77" i="17"/>
  <c r="BC77" i="17"/>
  <c r="AY77" i="17"/>
  <c r="AO77" i="17" s="1"/>
  <c r="AP77" i="17"/>
  <c r="AN77" i="17"/>
  <c r="AS77" i="17" s="1"/>
  <c r="BO77" i="17" s="1"/>
  <c r="AM77" i="17"/>
  <c r="AR77" i="17" s="1"/>
  <c r="AL77" i="17"/>
  <c r="AQ77" i="17" s="1"/>
  <c r="AK77" i="17"/>
  <c r="BJ76" i="17"/>
  <c r="BI76" i="17"/>
  <c r="BH76" i="17"/>
  <c r="BF76" i="17"/>
  <c r="BC76" i="17"/>
  <c r="AY76" i="17"/>
  <c r="AS76" i="17"/>
  <c r="BO76" i="17" s="1"/>
  <c r="AO76" i="17"/>
  <c r="AN76" i="17"/>
  <c r="AM76" i="17"/>
  <c r="AR76" i="17" s="1"/>
  <c r="BN76" i="17" s="1"/>
  <c r="AL76" i="17"/>
  <c r="AQ76" i="17" s="1"/>
  <c r="AK76" i="17"/>
  <c r="AP76" i="17" s="1"/>
  <c r="BD76" i="17" s="1"/>
  <c r="BJ75" i="17"/>
  <c r="BI75" i="17"/>
  <c r="BH75" i="17"/>
  <c r="BF75" i="17"/>
  <c r="BC75" i="17"/>
  <c r="AY75" i="17"/>
  <c r="AR75" i="17"/>
  <c r="BN75" i="17" s="1"/>
  <c r="AO75" i="17"/>
  <c r="AN75" i="17"/>
  <c r="AS75" i="17" s="1"/>
  <c r="BO75" i="17" s="1"/>
  <c r="AM75" i="17"/>
  <c r="AL75" i="17"/>
  <c r="AQ75" i="17" s="1"/>
  <c r="AK75" i="17"/>
  <c r="AP75" i="17" s="1"/>
  <c r="BJ74" i="17"/>
  <c r="BI74" i="17"/>
  <c r="BH74" i="17"/>
  <c r="BF74" i="17"/>
  <c r="BC74" i="17"/>
  <c r="AY74" i="17"/>
  <c r="AO74" i="17" s="1"/>
  <c r="AQ74" i="17"/>
  <c r="AP74" i="17"/>
  <c r="AN74" i="17"/>
  <c r="AS74" i="17" s="1"/>
  <c r="BO74" i="17" s="1"/>
  <c r="AM74" i="17"/>
  <c r="AR74" i="17" s="1"/>
  <c r="BN74" i="17" s="1"/>
  <c r="AL74" i="17"/>
  <c r="AK74" i="17"/>
  <c r="BJ73" i="17"/>
  <c r="BI73" i="17"/>
  <c r="BH73" i="17"/>
  <c r="BF73" i="17"/>
  <c r="BC73" i="17"/>
  <c r="AY73" i="17"/>
  <c r="AO73" i="17" s="1"/>
  <c r="AS73" i="17"/>
  <c r="BO73" i="17" s="1"/>
  <c r="AP73" i="17"/>
  <c r="AN73" i="17"/>
  <c r="AM73" i="17"/>
  <c r="AR73" i="17" s="1"/>
  <c r="BN73" i="17" s="1"/>
  <c r="AL73" i="17"/>
  <c r="AQ73" i="17" s="1"/>
  <c r="AK73" i="17"/>
  <c r="BJ72" i="17"/>
  <c r="BI72" i="17"/>
  <c r="BH72" i="17"/>
  <c r="BF72" i="17"/>
  <c r="BC72" i="17"/>
  <c r="AY72" i="17"/>
  <c r="AS72" i="17"/>
  <c r="BO72" i="17" s="1"/>
  <c r="AR72" i="17"/>
  <c r="BN72" i="17" s="1"/>
  <c r="AO72" i="17"/>
  <c r="AN72" i="17"/>
  <c r="AM72" i="17"/>
  <c r="AL72" i="17"/>
  <c r="AQ72" i="17" s="1"/>
  <c r="BM72" i="17" s="1"/>
  <c r="AK72" i="17"/>
  <c r="AP72" i="17" s="1"/>
  <c r="BD72" i="17" s="1"/>
  <c r="BJ71" i="17"/>
  <c r="BI71" i="17"/>
  <c r="BH71" i="17"/>
  <c r="BF71" i="17"/>
  <c r="BC71" i="17"/>
  <c r="AY71" i="17"/>
  <c r="AR71" i="17"/>
  <c r="BN71" i="17" s="1"/>
  <c r="AQ71" i="17"/>
  <c r="AO71" i="17"/>
  <c r="AN71" i="17"/>
  <c r="AS71" i="17" s="1"/>
  <c r="BO71" i="17" s="1"/>
  <c r="AM71" i="17"/>
  <c r="AL71" i="17"/>
  <c r="AK71" i="17"/>
  <c r="AP71" i="17" s="1"/>
  <c r="BM71" i="17" s="1"/>
  <c r="BO70" i="17"/>
  <c r="BJ70" i="17"/>
  <c r="BI70" i="17"/>
  <c r="BH70" i="17"/>
  <c r="BF70" i="17"/>
  <c r="BC70" i="17"/>
  <c r="AY70" i="17"/>
  <c r="AO70" i="17" s="1"/>
  <c r="AQ70" i="17"/>
  <c r="AP70" i="17"/>
  <c r="BM70" i="17" s="1"/>
  <c r="AN70" i="17"/>
  <c r="AS70" i="17" s="1"/>
  <c r="AM70" i="17"/>
  <c r="AR70" i="17" s="1"/>
  <c r="BN70" i="17" s="1"/>
  <c r="AL70" i="17"/>
  <c r="AK70" i="17"/>
  <c r="BN69" i="17"/>
  <c r="BJ69" i="17"/>
  <c r="BI69" i="17"/>
  <c r="BH69" i="17"/>
  <c r="BF69" i="17"/>
  <c r="BC69" i="17"/>
  <c r="AY69" i="17"/>
  <c r="AO69" i="17" s="1"/>
  <c r="AS69" i="17"/>
  <c r="BO69" i="17" s="1"/>
  <c r="AP69" i="17"/>
  <c r="AN69" i="17"/>
  <c r="AM69" i="17"/>
  <c r="AR69" i="17" s="1"/>
  <c r="AL69" i="17"/>
  <c r="AQ69" i="17" s="1"/>
  <c r="AK69" i="17"/>
  <c r="BJ68" i="17"/>
  <c r="BI68" i="17"/>
  <c r="BH68" i="17"/>
  <c r="BF68" i="17"/>
  <c r="BC68" i="17"/>
  <c r="AY68" i="17"/>
  <c r="AS68" i="17"/>
  <c r="BO68" i="17" s="1"/>
  <c r="AR68" i="17"/>
  <c r="BN68" i="17" s="1"/>
  <c r="AO68" i="17"/>
  <c r="AN68" i="17"/>
  <c r="AM68" i="17"/>
  <c r="AL68" i="17"/>
  <c r="AQ68" i="17" s="1"/>
  <c r="AK68" i="17"/>
  <c r="AP68" i="17" s="1"/>
  <c r="BD68" i="17" s="1"/>
  <c r="BJ67" i="17"/>
  <c r="BI67" i="17"/>
  <c r="BH67" i="17"/>
  <c r="BF67" i="17"/>
  <c r="BD67" i="17"/>
  <c r="BC67" i="17"/>
  <c r="AY67" i="17"/>
  <c r="AR67" i="17"/>
  <c r="BN67" i="17" s="1"/>
  <c r="AQ67" i="17"/>
  <c r="AO67" i="17"/>
  <c r="AN67" i="17"/>
  <c r="AS67" i="17" s="1"/>
  <c r="BO67" i="17" s="1"/>
  <c r="AM67" i="17"/>
  <c r="AL67" i="17"/>
  <c r="AK67" i="17"/>
  <c r="AP67" i="17" s="1"/>
  <c r="BM67" i="17" s="1"/>
  <c r="BJ66" i="17"/>
  <c r="BI66" i="17"/>
  <c r="BH66" i="17"/>
  <c r="BF66" i="17"/>
  <c r="BC66" i="17"/>
  <c r="AY66" i="17"/>
  <c r="AO66" i="17" s="1"/>
  <c r="AQ66" i="17"/>
  <c r="AP66" i="17"/>
  <c r="AN66" i="17"/>
  <c r="AS66" i="17" s="1"/>
  <c r="BO66" i="17" s="1"/>
  <c r="AM66" i="17"/>
  <c r="AR66" i="17" s="1"/>
  <c r="BN66" i="17" s="1"/>
  <c r="AL66" i="17"/>
  <c r="AK66" i="17"/>
  <c r="BJ65" i="17"/>
  <c r="BI65" i="17"/>
  <c r="BH65" i="17"/>
  <c r="BF65" i="17"/>
  <c r="BC65" i="17"/>
  <c r="AY65" i="17"/>
  <c r="AO65" i="17" s="1"/>
  <c r="AS65" i="17"/>
  <c r="BO65" i="17" s="1"/>
  <c r="AP65" i="17"/>
  <c r="AN65" i="17"/>
  <c r="AM65" i="17"/>
  <c r="AR65" i="17" s="1"/>
  <c r="BN65" i="17" s="1"/>
  <c r="AL65" i="17"/>
  <c r="AQ65" i="17" s="1"/>
  <c r="AK65" i="17"/>
  <c r="BJ64" i="17"/>
  <c r="BI64" i="17"/>
  <c r="BH64" i="17"/>
  <c r="BF64" i="17"/>
  <c r="BC64" i="17"/>
  <c r="AY64" i="17"/>
  <c r="AS64" i="17"/>
  <c r="BO64" i="17" s="1"/>
  <c r="AR64" i="17"/>
  <c r="BN64" i="17" s="1"/>
  <c r="AO64" i="17"/>
  <c r="AN64" i="17"/>
  <c r="AM64" i="17"/>
  <c r="AL64" i="17"/>
  <c r="AQ64" i="17" s="1"/>
  <c r="BM64" i="17" s="1"/>
  <c r="AK64" i="17"/>
  <c r="AP64" i="17" s="1"/>
  <c r="BD64" i="17" s="1"/>
  <c r="BJ63" i="17"/>
  <c r="BI63" i="17"/>
  <c r="BH63" i="17"/>
  <c r="BF63" i="17"/>
  <c r="BC63" i="17"/>
  <c r="AY63" i="17"/>
  <c r="AR63" i="17"/>
  <c r="BN63" i="17" s="1"/>
  <c r="AQ63" i="17"/>
  <c r="AO63" i="17"/>
  <c r="AN63" i="17"/>
  <c r="AS63" i="17" s="1"/>
  <c r="BO63" i="17" s="1"/>
  <c r="AM63" i="17"/>
  <c r="AL63" i="17"/>
  <c r="AK63" i="17"/>
  <c r="AP63" i="17" s="1"/>
  <c r="BM63" i="17" s="1"/>
  <c r="BO62" i="17"/>
  <c r="BJ62" i="17"/>
  <c r="BI62" i="17"/>
  <c r="BH62" i="17"/>
  <c r="BF62" i="17"/>
  <c r="BC62" i="17"/>
  <c r="AY62" i="17"/>
  <c r="AO62" i="17" s="1"/>
  <c r="AQ62" i="17"/>
  <c r="AP62" i="17"/>
  <c r="BM62" i="17" s="1"/>
  <c r="AN62" i="17"/>
  <c r="AS62" i="17" s="1"/>
  <c r="AM62" i="17"/>
  <c r="AR62" i="17" s="1"/>
  <c r="BN62" i="17" s="1"/>
  <c r="AL62" i="17"/>
  <c r="AK62" i="17"/>
  <c r="BN61" i="17"/>
  <c r="BJ61" i="17"/>
  <c r="BI61" i="17"/>
  <c r="BH61" i="17"/>
  <c r="BF61" i="17"/>
  <c r="BC61" i="17"/>
  <c r="AY61" i="17"/>
  <c r="AO61" i="17" s="1"/>
  <c r="AS61" i="17"/>
  <c r="BO61" i="17" s="1"/>
  <c r="AP61" i="17"/>
  <c r="AN61" i="17"/>
  <c r="AM61" i="17"/>
  <c r="AR61" i="17" s="1"/>
  <c r="AL61" i="17"/>
  <c r="AQ61" i="17" s="1"/>
  <c r="AK61" i="17"/>
  <c r="BJ60" i="17"/>
  <c r="BI60" i="17"/>
  <c r="BH60" i="17"/>
  <c r="BF60" i="17"/>
  <c r="BC60" i="17"/>
  <c r="AY60" i="17"/>
  <c r="AS60" i="17"/>
  <c r="BO60" i="17" s="1"/>
  <c r="AR60" i="17"/>
  <c r="BN60" i="17" s="1"/>
  <c r="AO60" i="17"/>
  <c r="AN60" i="17"/>
  <c r="AM60" i="17"/>
  <c r="AL60" i="17"/>
  <c r="AQ60" i="17" s="1"/>
  <c r="AK60" i="17"/>
  <c r="AP60" i="17" s="1"/>
  <c r="BD60" i="17" s="1"/>
  <c r="BJ59" i="17"/>
  <c r="BI59" i="17"/>
  <c r="BH59" i="17"/>
  <c r="BF59" i="17"/>
  <c r="BC59" i="17"/>
  <c r="AY59" i="17"/>
  <c r="AO59" i="17" s="1"/>
  <c r="AR59" i="17"/>
  <c r="BN59" i="17" s="1"/>
  <c r="AQ59" i="17"/>
  <c r="AN59" i="17"/>
  <c r="AS59" i="17" s="1"/>
  <c r="BO59" i="17" s="1"/>
  <c r="AM59" i="17"/>
  <c r="AL59" i="17"/>
  <c r="AK59" i="17"/>
  <c r="AP59" i="17" s="1"/>
  <c r="BM59" i="17" s="1"/>
  <c r="BO58" i="17"/>
  <c r="BJ58" i="17"/>
  <c r="BI58" i="17"/>
  <c r="BH58" i="17"/>
  <c r="BF58" i="17"/>
  <c r="BC58" i="17"/>
  <c r="AY58" i="17"/>
  <c r="AO58" i="17" s="1"/>
  <c r="AQ58" i="17"/>
  <c r="AP58" i="17"/>
  <c r="AN58" i="17"/>
  <c r="AS58" i="17" s="1"/>
  <c r="AM58" i="17"/>
  <c r="AR58" i="17" s="1"/>
  <c r="BN58" i="17" s="1"/>
  <c r="AL58" i="17"/>
  <c r="AK58" i="17"/>
  <c r="BJ57" i="17"/>
  <c r="BI57" i="17"/>
  <c r="BH57" i="17"/>
  <c r="BF57" i="17"/>
  <c r="BC57" i="17"/>
  <c r="AY57" i="17"/>
  <c r="AO57" i="17" s="1"/>
  <c r="AS57" i="17"/>
  <c r="BO57" i="17" s="1"/>
  <c r="AP57" i="17"/>
  <c r="AN57" i="17"/>
  <c r="AM57" i="17"/>
  <c r="AR57" i="17" s="1"/>
  <c r="BN57" i="17" s="1"/>
  <c r="AL57" i="17"/>
  <c r="AQ57" i="17" s="1"/>
  <c r="AK57" i="17"/>
  <c r="BJ56" i="17"/>
  <c r="BI56" i="17"/>
  <c r="BH56" i="17"/>
  <c r="BF56" i="17"/>
  <c r="BC56" i="17"/>
  <c r="AY56" i="17"/>
  <c r="AS56" i="17"/>
  <c r="BO56" i="17" s="1"/>
  <c r="AR56" i="17"/>
  <c r="BN56" i="17" s="1"/>
  <c r="AO56" i="17"/>
  <c r="AN56" i="17"/>
  <c r="AM56" i="17"/>
  <c r="AL56" i="17"/>
  <c r="AQ56" i="17" s="1"/>
  <c r="AK56" i="17"/>
  <c r="AP56" i="17" s="1"/>
  <c r="BD56" i="17" s="1"/>
  <c r="BJ55" i="17"/>
  <c r="BI55" i="17"/>
  <c r="BH55" i="17"/>
  <c r="BF55" i="17"/>
  <c r="BC55" i="17"/>
  <c r="AY55" i="17"/>
  <c r="AO55" i="17" s="1"/>
  <c r="AR55" i="17"/>
  <c r="BN55" i="17" s="1"/>
  <c r="AQ55" i="17"/>
  <c r="AN55" i="17"/>
  <c r="AS55" i="17" s="1"/>
  <c r="BO55" i="17" s="1"/>
  <c r="AM55" i="17"/>
  <c r="AL55" i="17"/>
  <c r="AK55" i="17"/>
  <c r="AP55" i="17" s="1"/>
  <c r="BM55" i="17" s="1"/>
  <c r="BJ54" i="17"/>
  <c r="BI54" i="17"/>
  <c r="BH54" i="17"/>
  <c r="BF54" i="17"/>
  <c r="BC54" i="17"/>
  <c r="AY54" i="17"/>
  <c r="AO54" i="17" s="1"/>
  <c r="AQ54" i="17"/>
  <c r="AP54" i="17"/>
  <c r="AN54" i="17"/>
  <c r="AS54" i="17" s="1"/>
  <c r="BO54" i="17" s="1"/>
  <c r="AM54" i="17"/>
  <c r="AR54" i="17" s="1"/>
  <c r="BN54" i="17" s="1"/>
  <c r="AL54" i="17"/>
  <c r="AK54" i="17"/>
  <c r="BJ53" i="17"/>
  <c r="BI53" i="17"/>
  <c r="BH53" i="17"/>
  <c r="BF53" i="17"/>
  <c r="BC53" i="17"/>
  <c r="AY53" i="17"/>
  <c r="AO53" i="17" s="1"/>
  <c r="AS53" i="17"/>
  <c r="BO53" i="17" s="1"/>
  <c r="AP53" i="17"/>
  <c r="AN53" i="17"/>
  <c r="AM53" i="17"/>
  <c r="AR53" i="17" s="1"/>
  <c r="BN53" i="17" s="1"/>
  <c r="AL53" i="17"/>
  <c r="AQ53" i="17" s="1"/>
  <c r="AK53" i="17"/>
  <c r="BJ52" i="17"/>
  <c r="BI52" i="17"/>
  <c r="BH52" i="17"/>
  <c r="BF52" i="17"/>
  <c r="BC52" i="17"/>
  <c r="AY52" i="17"/>
  <c r="AS52" i="17"/>
  <c r="BO52" i="17" s="1"/>
  <c r="AR52" i="17"/>
  <c r="BN52" i="17" s="1"/>
  <c r="AO52" i="17"/>
  <c r="AN52" i="17"/>
  <c r="AM52" i="17"/>
  <c r="AL52" i="17"/>
  <c r="AQ52" i="17" s="1"/>
  <c r="BM52" i="17" s="1"/>
  <c r="AK52" i="17"/>
  <c r="AP52" i="17" s="1"/>
  <c r="BD52" i="17" s="1"/>
  <c r="BJ51" i="17"/>
  <c r="BI51" i="17"/>
  <c r="BH51" i="17"/>
  <c r="BF51" i="17"/>
  <c r="BC51" i="17"/>
  <c r="AY51" i="17"/>
  <c r="AR51" i="17"/>
  <c r="BN51" i="17" s="1"/>
  <c r="AQ51" i="17"/>
  <c r="AO51" i="17"/>
  <c r="AN51" i="17"/>
  <c r="AS51" i="17" s="1"/>
  <c r="BO51" i="17" s="1"/>
  <c r="AM51" i="17"/>
  <c r="AL51" i="17"/>
  <c r="AK51" i="17"/>
  <c r="AP51" i="17" s="1"/>
  <c r="BM51" i="17" s="1"/>
  <c r="BO50" i="17"/>
  <c r="BJ50" i="17"/>
  <c r="BI50" i="17"/>
  <c r="BH50" i="17"/>
  <c r="BF50" i="17"/>
  <c r="BC50" i="17"/>
  <c r="AY50" i="17"/>
  <c r="AO50" i="17" s="1"/>
  <c r="AQ50" i="17"/>
  <c r="AP50" i="17"/>
  <c r="BM50" i="17" s="1"/>
  <c r="AN50" i="17"/>
  <c r="AS50" i="17" s="1"/>
  <c r="AM50" i="17"/>
  <c r="AR50" i="17" s="1"/>
  <c r="BN50" i="17" s="1"/>
  <c r="AL50" i="17"/>
  <c r="AK50" i="17"/>
  <c r="BN49" i="17"/>
  <c r="BJ49" i="17"/>
  <c r="BI49" i="17"/>
  <c r="BH49" i="17"/>
  <c r="BF49" i="17"/>
  <c r="BC49" i="17"/>
  <c r="AY49" i="17"/>
  <c r="AO49" i="17" s="1"/>
  <c r="AS49" i="17"/>
  <c r="BO49" i="17" s="1"/>
  <c r="AP49" i="17"/>
  <c r="AN49" i="17"/>
  <c r="AM49" i="17"/>
  <c r="AR49" i="17" s="1"/>
  <c r="AL49" i="17"/>
  <c r="AQ49" i="17" s="1"/>
  <c r="AK49" i="17"/>
  <c r="BJ48" i="17"/>
  <c r="BI48" i="17"/>
  <c r="BH48" i="17"/>
  <c r="BF48" i="17"/>
  <c r="BC48" i="17"/>
  <c r="AY48" i="17"/>
  <c r="AS48" i="17"/>
  <c r="BO48" i="17" s="1"/>
  <c r="AR48" i="17"/>
  <c r="BN48" i="17" s="1"/>
  <c r="AO48" i="17"/>
  <c r="AN48" i="17"/>
  <c r="AM48" i="17"/>
  <c r="AL48" i="17"/>
  <c r="AQ48" i="17" s="1"/>
  <c r="AK48" i="17"/>
  <c r="AP48" i="17" s="1"/>
  <c r="BD48" i="17" s="1"/>
  <c r="BJ47" i="17"/>
  <c r="BI47" i="17"/>
  <c r="BH47" i="17"/>
  <c r="BF47" i="17"/>
  <c r="BD47" i="17"/>
  <c r="BC47" i="17"/>
  <c r="AY47" i="17"/>
  <c r="AR47" i="17"/>
  <c r="BN47" i="17" s="1"/>
  <c r="AQ47" i="17"/>
  <c r="AO47" i="17"/>
  <c r="AN47" i="17"/>
  <c r="AS47" i="17" s="1"/>
  <c r="BO47" i="17" s="1"/>
  <c r="AM47" i="17"/>
  <c r="AL47" i="17"/>
  <c r="AK47" i="17"/>
  <c r="AP47" i="17" s="1"/>
  <c r="BM47" i="17" s="1"/>
  <c r="BJ46" i="17"/>
  <c r="BI46" i="17"/>
  <c r="BH46" i="17"/>
  <c r="BF46" i="17"/>
  <c r="BC46" i="17"/>
  <c r="AY46" i="17"/>
  <c r="AO46" i="17" s="1"/>
  <c r="AP46" i="17"/>
  <c r="AN46" i="17"/>
  <c r="AS46" i="17" s="1"/>
  <c r="BO46" i="17" s="1"/>
  <c r="AM46" i="17"/>
  <c r="AR46" i="17" s="1"/>
  <c r="BN46" i="17" s="1"/>
  <c r="AL46" i="17"/>
  <c r="AQ46" i="17" s="1"/>
  <c r="AK46" i="17"/>
  <c r="BJ45" i="17"/>
  <c r="BI45" i="17"/>
  <c r="BH45" i="17"/>
  <c r="BF45" i="17"/>
  <c r="BC45" i="17"/>
  <c r="AY45" i="17"/>
  <c r="AS45" i="17"/>
  <c r="BO45" i="17" s="1"/>
  <c r="AP45" i="17"/>
  <c r="BD45" i="17" s="1"/>
  <c r="AO45" i="17"/>
  <c r="AN45" i="17"/>
  <c r="AM45" i="17"/>
  <c r="AR45" i="17" s="1"/>
  <c r="BN45" i="17" s="1"/>
  <c r="AL45" i="17"/>
  <c r="AQ45" i="17" s="1"/>
  <c r="AK45" i="17"/>
  <c r="BJ44" i="17"/>
  <c r="BI44" i="17"/>
  <c r="BH44" i="17"/>
  <c r="BF44" i="17"/>
  <c r="BC44" i="17"/>
  <c r="AY44" i="17"/>
  <c r="AS44" i="17"/>
  <c r="BO44" i="17" s="1"/>
  <c r="AR44" i="17"/>
  <c r="BN44" i="17" s="1"/>
  <c r="AO44" i="17"/>
  <c r="AN44" i="17"/>
  <c r="AM44" i="17"/>
  <c r="AL44" i="17"/>
  <c r="AQ44" i="17" s="1"/>
  <c r="AK44" i="17"/>
  <c r="AP44" i="17" s="1"/>
  <c r="BJ43" i="17"/>
  <c r="BI43" i="17"/>
  <c r="BH43" i="17"/>
  <c r="BF43" i="17"/>
  <c r="BC43" i="17"/>
  <c r="AY43" i="17"/>
  <c r="AR43" i="17"/>
  <c r="BN43" i="17" s="1"/>
  <c r="AQ43" i="17"/>
  <c r="AO43" i="17"/>
  <c r="AN43" i="17"/>
  <c r="AS43" i="17" s="1"/>
  <c r="BO43" i="17" s="1"/>
  <c r="AM43" i="17"/>
  <c r="AL43" i="17"/>
  <c r="AK43" i="17"/>
  <c r="AP43" i="17" s="1"/>
  <c r="BJ42" i="17"/>
  <c r="BI42" i="17"/>
  <c r="BH42" i="17"/>
  <c r="BF42" i="17"/>
  <c r="BC42" i="17"/>
  <c r="AY42" i="17"/>
  <c r="AO42" i="17" s="1"/>
  <c r="AQ42" i="17"/>
  <c r="AP42" i="17"/>
  <c r="BM42" i="17" s="1"/>
  <c r="AN42" i="17"/>
  <c r="AS42" i="17" s="1"/>
  <c r="BO42" i="17" s="1"/>
  <c r="AM42" i="17"/>
  <c r="AR42" i="17" s="1"/>
  <c r="BN42" i="17" s="1"/>
  <c r="AL42" i="17"/>
  <c r="AK42" i="17"/>
  <c r="BJ41" i="17"/>
  <c r="BI41" i="17"/>
  <c r="BH41" i="17"/>
  <c r="BF41" i="17"/>
  <c r="BC41" i="17"/>
  <c r="AY41" i="17"/>
  <c r="AO41" i="17" s="1"/>
  <c r="AS41" i="17"/>
  <c r="BO41" i="17" s="1"/>
  <c r="AP41" i="17"/>
  <c r="BM41" i="17" s="1"/>
  <c r="AN41" i="17"/>
  <c r="AM41" i="17"/>
  <c r="AR41" i="17" s="1"/>
  <c r="BN41" i="17" s="1"/>
  <c r="AL41" i="17"/>
  <c r="AQ41" i="17" s="1"/>
  <c r="AK41" i="17"/>
  <c r="BJ40" i="17"/>
  <c r="BI40" i="17"/>
  <c r="BH40" i="17"/>
  <c r="BF40" i="17"/>
  <c r="BC40" i="17"/>
  <c r="AY40" i="17"/>
  <c r="AS40" i="17"/>
  <c r="BO40" i="17" s="1"/>
  <c r="AR40" i="17"/>
  <c r="BN40" i="17" s="1"/>
  <c r="AO40" i="17"/>
  <c r="AN40" i="17"/>
  <c r="AM40" i="17"/>
  <c r="AL40" i="17"/>
  <c r="AQ40" i="17" s="1"/>
  <c r="AK40" i="17"/>
  <c r="AP40" i="17" s="1"/>
  <c r="BJ39" i="17"/>
  <c r="BI39" i="17"/>
  <c r="BH39" i="17"/>
  <c r="BF39" i="17"/>
  <c r="BC39" i="17"/>
  <c r="AY39" i="17"/>
  <c r="AR39" i="17"/>
  <c r="BN39" i="17" s="1"/>
  <c r="AQ39" i="17"/>
  <c r="AO39" i="17"/>
  <c r="AN39" i="17"/>
  <c r="AS39" i="17" s="1"/>
  <c r="BO39" i="17" s="1"/>
  <c r="AM39" i="17"/>
  <c r="AL39" i="17"/>
  <c r="AK39" i="17"/>
  <c r="AP39" i="17" s="1"/>
  <c r="BJ38" i="17"/>
  <c r="BI38" i="17"/>
  <c r="BH38" i="17"/>
  <c r="BF38" i="17"/>
  <c r="BC38" i="17"/>
  <c r="AY38" i="17"/>
  <c r="AO38" i="17" s="1"/>
  <c r="AQ38" i="17"/>
  <c r="AP38" i="17"/>
  <c r="BM38" i="17" s="1"/>
  <c r="AN38" i="17"/>
  <c r="AS38" i="17" s="1"/>
  <c r="BO38" i="17" s="1"/>
  <c r="AM38" i="17"/>
  <c r="AR38" i="17" s="1"/>
  <c r="BN38" i="17" s="1"/>
  <c r="AL38" i="17"/>
  <c r="AK38" i="17"/>
  <c r="BJ37" i="17"/>
  <c r="BI37" i="17"/>
  <c r="BH37" i="17"/>
  <c r="BF37" i="17"/>
  <c r="BC37" i="17"/>
  <c r="AY37" i="17"/>
  <c r="AO37" i="17" s="1"/>
  <c r="AS37" i="17"/>
  <c r="BO37" i="17" s="1"/>
  <c r="AP37" i="17"/>
  <c r="AN37" i="17"/>
  <c r="AM37" i="17"/>
  <c r="AR37" i="17" s="1"/>
  <c r="BN37" i="17" s="1"/>
  <c r="AL37" i="17"/>
  <c r="AQ37" i="17" s="1"/>
  <c r="AK37" i="17"/>
  <c r="BJ36" i="17"/>
  <c r="BI36" i="17"/>
  <c r="BH36" i="17"/>
  <c r="BF36" i="17"/>
  <c r="BC36" i="17"/>
  <c r="AY36" i="17"/>
  <c r="AS36" i="17"/>
  <c r="BO36" i="17" s="1"/>
  <c r="AR36" i="17"/>
  <c r="BN36" i="17" s="1"/>
  <c r="AO36" i="17"/>
  <c r="AN36" i="17"/>
  <c r="AM36" i="17"/>
  <c r="AL36" i="17"/>
  <c r="AQ36" i="17" s="1"/>
  <c r="AK36" i="17"/>
  <c r="AP36" i="17" s="1"/>
  <c r="BJ35" i="17"/>
  <c r="BI35" i="17"/>
  <c r="BH35" i="17"/>
  <c r="BF35" i="17"/>
  <c r="BC35" i="17"/>
  <c r="AY35" i="17"/>
  <c r="AR35" i="17"/>
  <c r="BN35" i="17" s="1"/>
  <c r="AQ35" i="17"/>
  <c r="AO35" i="17"/>
  <c r="AN35" i="17"/>
  <c r="AS35" i="17" s="1"/>
  <c r="BO35" i="17" s="1"/>
  <c r="AM35" i="17"/>
  <c r="AL35" i="17"/>
  <c r="AK35" i="17"/>
  <c r="AP35" i="17" s="1"/>
  <c r="BJ34" i="17"/>
  <c r="BI34" i="17"/>
  <c r="BH34" i="17"/>
  <c r="BF34" i="17"/>
  <c r="BC34" i="17"/>
  <c r="AY34" i="17"/>
  <c r="AO34" i="17" s="1"/>
  <c r="AQ34" i="17"/>
  <c r="AP34" i="17"/>
  <c r="BM34" i="17" s="1"/>
  <c r="AN34" i="17"/>
  <c r="AS34" i="17" s="1"/>
  <c r="BO34" i="17" s="1"/>
  <c r="AM34" i="17"/>
  <c r="AR34" i="17" s="1"/>
  <c r="BN34" i="17" s="1"/>
  <c r="AL34" i="17"/>
  <c r="AK34" i="17"/>
  <c r="BJ33" i="17"/>
  <c r="BI33" i="17"/>
  <c r="BH33" i="17"/>
  <c r="BF33" i="17"/>
  <c r="BC33" i="17"/>
  <c r="AY33" i="17"/>
  <c r="AO33" i="17" s="1"/>
  <c r="AS33" i="17"/>
  <c r="BO33" i="17" s="1"/>
  <c r="AP33" i="17"/>
  <c r="BM33" i="17" s="1"/>
  <c r="AN33" i="17"/>
  <c r="AM33" i="17"/>
  <c r="AR33" i="17" s="1"/>
  <c r="BN33" i="17" s="1"/>
  <c r="AL33" i="17"/>
  <c r="AQ33" i="17" s="1"/>
  <c r="AK33" i="17"/>
  <c r="BJ32" i="17"/>
  <c r="BI32" i="17"/>
  <c r="BH32" i="17"/>
  <c r="BF32" i="17"/>
  <c r="BC32" i="17"/>
  <c r="AY32" i="17"/>
  <c r="AS32" i="17"/>
  <c r="BO32" i="17" s="1"/>
  <c r="AR32" i="17"/>
  <c r="BN32" i="17" s="1"/>
  <c r="AO32" i="17"/>
  <c r="AN32" i="17"/>
  <c r="AM32" i="17"/>
  <c r="AL32" i="17"/>
  <c r="AQ32" i="17" s="1"/>
  <c r="AK32" i="17"/>
  <c r="AP32" i="17" s="1"/>
  <c r="BJ31" i="17"/>
  <c r="BI31" i="17"/>
  <c r="BH31" i="17"/>
  <c r="BF31" i="17"/>
  <c r="BC31" i="17"/>
  <c r="AY31" i="17"/>
  <c r="AO31" i="17" s="1"/>
  <c r="AR31" i="17"/>
  <c r="BN31" i="17" s="1"/>
  <c r="AQ31" i="17"/>
  <c r="AN31" i="17"/>
  <c r="AS31" i="17" s="1"/>
  <c r="BO31" i="17" s="1"/>
  <c r="AM31" i="17"/>
  <c r="AL31" i="17"/>
  <c r="AK31" i="17"/>
  <c r="AP31" i="17" s="1"/>
  <c r="BJ30" i="17"/>
  <c r="BI30" i="17"/>
  <c r="BH30" i="17"/>
  <c r="BF30" i="17"/>
  <c r="BC30" i="17"/>
  <c r="AY30" i="17"/>
  <c r="AO30" i="17" s="1"/>
  <c r="AQ30" i="17"/>
  <c r="AP30" i="17"/>
  <c r="BM30" i="17" s="1"/>
  <c r="AN30" i="17"/>
  <c r="AS30" i="17" s="1"/>
  <c r="BO30" i="17" s="1"/>
  <c r="AM30" i="17"/>
  <c r="AR30" i="17" s="1"/>
  <c r="BN30" i="17" s="1"/>
  <c r="AL30" i="17"/>
  <c r="AK30" i="17"/>
  <c r="BJ29" i="17"/>
  <c r="BI29" i="17"/>
  <c r="BH29" i="17"/>
  <c r="BF29" i="17"/>
  <c r="BC29" i="17"/>
  <c r="AY29" i="17"/>
  <c r="AO29" i="17" s="1"/>
  <c r="AS29" i="17"/>
  <c r="BO29" i="17" s="1"/>
  <c r="AP29" i="17"/>
  <c r="BM29" i="17" s="1"/>
  <c r="AN29" i="17"/>
  <c r="AM29" i="17"/>
  <c r="AR29" i="17" s="1"/>
  <c r="BN29" i="17" s="1"/>
  <c r="AL29" i="17"/>
  <c r="AQ29" i="17" s="1"/>
  <c r="AK29" i="17"/>
  <c r="BJ28" i="17"/>
  <c r="BI28" i="17"/>
  <c r="BH28" i="17"/>
  <c r="BF28" i="17"/>
  <c r="BC28" i="17"/>
  <c r="AY28" i="17"/>
  <c r="AS28" i="17"/>
  <c r="BO28" i="17" s="1"/>
  <c r="AR28" i="17"/>
  <c r="BN28" i="17" s="1"/>
  <c r="AO28" i="17"/>
  <c r="AN28" i="17"/>
  <c r="AM28" i="17"/>
  <c r="AL28" i="17"/>
  <c r="AQ28" i="17" s="1"/>
  <c r="AK28" i="17"/>
  <c r="AP28" i="17" s="1"/>
  <c r="BJ27" i="17"/>
  <c r="BI27" i="17"/>
  <c r="BH27" i="17"/>
  <c r="BF27" i="17"/>
  <c r="BC27" i="17"/>
  <c r="AY27" i="17"/>
  <c r="AR27" i="17"/>
  <c r="BN27" i="17" s="1"/>
  <c r="AQ27" i="17"/>
  <c r="AO27" i="17"/>
  <c r="AN27" i="17"/>
  <c r="AS27" i="17" s="1"/>
  <c r="BO27" i="17" s="1"/>
  <c r="AM27" i="17"/>
  <c r="AL27" i="17"/>
  <c r="AK27" i="17"/>
  <c r="AP27" i="17" s="1"/>
  <c r="BJ26" i="17"/>
  <c r="BI26" i="17"/>
  <c r="BH26" i="17"/>
  <c r="BF26" i="17"/>
  <c r="BC26" i="17"/>
  <c r="AY26" i="17"/>
  <c r="AO26" i="17" s="1"/>
  <c r="AQ26" i="17"/>
  <c r="AP26" i="17"/>
  <c r="BM26" i="17" s="1"/>
  <c r="AN26" i="17"/>
  <c r="AS26" i="17" s="1"/>
  <c r="BO26" i="17" s="1"/>
  <c r="AM26" i="17"/>
  <c r="AR26" i="17" s="1"/>
  <c r="BN26" i="17" s="1"/>
  <c r="AL26" i="17"/>
  <c r="AK26" i="17"/>
  <c r="BJ25" i="17"/>
  <c r="BI25" i="17"/>
  <c r="BH25" i="17"/>
  <c r="BF25" i="17"/>
  <c r="BC25" i="17"/>
  <c r="AY25" i="17"/>
  <c r="AO25" i="17" s="1"/>
  <c r="AS25" i="17"/>
  <c r="BO25" i="17" s="1"/>
  <c r="AP25" i="17"/>
  <c r="AN25" i="17"/>
  <c r="AM25" i="17"/>
  <c r="AR25" i="17" s="1"/>
  <c r="BN25" i="17" s="1"/>
  <c r="AL25" i="17"/>
  <c r="AQ25" i="17" s="1"/>
  <c r="AK25" i="17"/>
  <c r="BJ24" i="17"/>
  <c r="BI24" i="17"/>
  <c r="BH24" i="17"/>
  <c r="BF24" i="17"/>
  <c r="BC24" i="17"/>
  <c r="AY24" i="17"/>
  <c r="AS24" i="17"/>
  <c r="BO24" i="17" s="1"/>
  <c r="AR24" i="17"/>
  <c r="BN24" i="17" s="1"/>
  <c r="AO24" i="17"/>
  <c r="AN24" i="17"/>
  <c r="AM24" i="17"/>
  <c r="AL24" i="17"/>
  <c r="AQ24" i="17" s="1"/>
  <c r="AK24" i="17"/>
  <c r="AP24" i="17" s="1"/>
  <c r="BJ23" i="17"/>
  <c r="BI23" i="17"/>
  <c r="BH23" i="17"/>
  <c r="BF23" i="17"/>
  <c r="BC23" i="17"/>
  <c r="AY23" i="17"/>
  <c r="AR23" i="17"/>
  <c r="BN23" i="17" s="1"/>
  <c r="AQ23" i="17"/>
  <c r="AO23" i="17"/>
  <c r="AN23" i="17"/>
  <c r="AS23" i="17" s="1"/>
  <c r="BO23" i="17" s="1"/>
  <c r="AM23" i="17"/>
  <c r="AL23" i="17"/>
  <c r="AK23" i="17"/>
  <c r="AP23" i="17" s="1"/>
  <c r="BJ22" i="17"/>
  <c r="BI22" i="17"/>
  <c r="BH22" i="17"/>
  <c r="BF22" i="17"/>
  <c r="BC22" i="17"/>
  <c r="AY22" i="17"/>
  <c r="AO22" i="17" s="1"/>
  <c r="AQ22" i="17"/>
  <c r="AP22" i="17"/>
  <c r="BM22" i="17" s="1"/>
  <c r="AN22" i="17"/>
  <c r="AS22" i="17" s="1"/>
  <c r="BO22" i="17" s="1"/>
  <c r="AM22" i="17"/>
  <c r="AR22" i="17" s="1"/>
  <c r="BN22" i="17" s="1"/>
  <c r="AL22" i="17"/>
  <c r="AK22" i="17"/>
  <c r="BJ21" i="17"/>
  <c r="BI21" i="17"/>
  <c r="BH21" i="17"/>
  <c r="BF21" i="17"/>
  <c r="BC21" i="17"/>
  <c r="AY21" i="17"/>
  <c r="AO21" i="17" s="1"/>
  <c r="AS21" i="17"/>
  <c r="BO21" i="17" s="1"/>
  <c r="AP21" i="17"/>
  <c r="BM21" i="17" s="1"/>
  <c r="AN21" i="17"/>
  <c r="AM21" i="17"/>
  <c r="AR21" i="17" s="1"/>
  <c r="BN21" i="17" s="1"/>
  <c r="AL21" i="17"/>
  <c r="AQ21" i="17" s="1"/>
  <c r="AK21" i="17"/>
  <c r="BJ20" i="17"/>
  <c r="BI20" i="17"/>
  <c r="BH20" i="17"/>
  <c r="BF20" i="17"/>
  <c r="BC20" i="17"/>
  <c r="AY20" i="17"/>
  <c r="AS20" i="17"/>
  <c r="BO20" i="17" s="1"/>
  <c r="AR20" i="17"/>
  <c r="BN20" i="17" s="1"/>
  <c r="AO20" i="17"/>
  <c r="AN20" i="17"/>
  <c r="AM20" i="17"/>
  <c r="AL20" i="17"/>
  <c r="AQ20" i="17" s="1"/>
  <c r="AK20" i="17"/>
  <c r="AP20" i="17" s="1"/>
  <c r="BJ19" i="17"/>
  <c r="BI19" i="17"/>
  <c r="BH19" i="17"/>
  <c r="BF19" i="17"/>
  <c r="BC19" i="17"/>
  <c r="AY19" i="17"/>
  <c r="AR19" i="17"/>
  <c r="BN19" i="17" s="1"/>
  <c r="AQ19" i="17"/>
  <c r="AO19" i="17"/>
  <c r="AN19" i="17"/>
  <c r="AS19" i="17" s="1"/>
  <c r="BO19" i="17" s="1"/>
  <c r="AM19" i="17"/>
  <c r="AL19" i="17"/>
  <c r="AK19" i="17"/>
  <c r="AP19" i="17" s="1"/>
  <c r="BJ18" i="17"/>
  <c r="BI18" i="17"/>
  <c r="BH18" i="17"/>
  <c r="BF18" i="17"/>
  <c r="BC18" i="17"/>
  <c r="AY18" i="17"/>
  <c r="AO18" i="17" s="1"/>
  <c r="AQ18" i="17"/>
  <c r="AP18" i="17"/>
  <c r="BM18" i="17" s="1"/>
  <c r="AN18" i="17"/>
  <c r="AS18" i="17" s="1"/>
  <c r="BO18" i="17" s="1"/>
  <c r="AM18" i="17"/>
  <c r="AR18" i="17" s="1"/>
  <c r="BN18" i="17" s="1"/>
  <c r="AL18" i="17"/>
  <c r="AK18" i="17"/>
  <c r="BJ17" i="17"/>
  <c r="BI17" i="17"/>
  <c r="BH17" i="17"/>
  <c r="BF17" i="17"/>
  <c r="BC17" i="17"/>
  <c r="AY17" i="17"/>
  <c r="AO17" i="17" s="1"/>
  <c r="AS17" i="17"/>
  <c r="BO17" i="17" s="1"/>
  <c r="AP17" i="17"/>
  <c r="AN17" i="17"/>
  <c r="AM17" i="17"/>
  <c r="AR17" i="17" s="1"/>
  <c r="BN17" i="17" s="1"/>
  <c r="AL17" i="17"/>
  <c r="AQ17" i="17" s="1"/>
  <c r="AK17" i="17"/>
  <c r="BJ16" i="17"/>
  <c r="BI16" i="17"/>
  <c r="BH16" i="17"/>
  <c r="BF16" i="17"/>
  <c r="BC16" i="17"/>
  <c r="AY16" i="17"/>
  <c r="AS16" i="17"/>
  <c r="BO16" i="17" s="1"/>
  <c r="AR16" i="17"/>
  <c r="BN16" i="17" s="1"/>
  <c r="AO16" i="17"/>
  <c r="AN16" i="17"/>
  <c r="AM16" i="17"/>
  <c r="AL16" i="17"/>
  <c r="AQ16" i="17" s="1"/>
  <c r="AK16" i="17"/>
  <c r="AP16" i="17" s="1"/>
  <c r="BJ15" i="17"/>
  <c r="BI15" i="17"/>
  <c r="BH15" i="17"/>
  <c r="BF15" i="17"/>
  <c r="BC15" i="17"/>
  <c r="AY15" i="17"/>
  <c r="AR15" i="17"/>
  <c r="BN15" i="17" s="1"/>
  <c r="AQ15" i="17"/>
  <c r="AO15" i="17"/>
  <c r="AN15" i="17"/>
  <c r="AS15" i="17" s="1"/>
  <c r="BO15" i="17" s="1"/>
  <c r="AM15" i="17"/>
  <c r="AL15" i="17"/>
  <c r="AK15" i="17"/>
  <c r="AP15" i="17" s="1"/>
  <c r="BJ14" i="17"/>
  <c r="BI14" i="17"/>
  <c r="BH14" i="17"/>
  <c r="BF14" i="17"/>
  <c r="BC14" i="17"/>
  <c r="AY14" i="17"/>
  <c r="AO14" i="17" s="1"/>
  <c r="AQ14" i="17"/>
  <c r="AP14" i="17"/>
  <c r="BM14" i="17" s="1"/>
  <c r="AN14" i="17"/>
  <c r="AS14" i="17" s="1"/>
  <c r="BO14" i="17" s="1"/>
  <c r="AM14" i="17"/>
  <c r="AR14" i="17" s="1"/>
  <c r="BN14" i="17" s="1"/>
  <c r="AL14" i="17"/>
  <c r="AK14" i="17"/>
  <c r="BJ13" i="17"/>
  <c r="BI13" i="17"/>
  <c r="BH13" i="17"/>
  <c r="BF13" i="17"/>
  <c r="BC13" i="17"/>
  <c r="AY13" i="17"/>
  <c r="AO13" i="17" s="1"/>
  <c r="AS13" i="17"/>
  <c r="BO13" i="17" s="1"/>
  <c r="AP13" i="17"/>
  <c r="BM13" i="17" s="1"/>
  <c r="AN13" i="17"/>
  <c r="AM13" i="17"/>
  <c r="AR13" i="17" s="1"/>
  <c r="BN13" i="17" s="1"/>
  <c r="AL13" i="17"/>
  <c r="AQ13" i="17" s="1"/>
  <c r="AK13" i="17"/>
  <c r="Z160" i="17"/>
  <c r="Y160" i="17"/>
  <c r="X160" i="17"/>
  <c r="AC160" i="17" s="1"/>
  <c r="W160" i="17"/>
  <c r="AB160" i="17" s="1"/>
  <c r="V160" i="17"/>
  <c r="AA160" i="17" s="1"/>
  <c r="U160" i="17"/>
  <c r="T160" i="17"/>
  <c r="S160" i="17"/>
  <c r="R160" i="17"/>
  <c r="Q160" i="17"/>
  <c r="P160" i="17"/>
  <c r="O160" i="17"/>
  <c r="AC159" i="17"/>
  <c r="Y159" i="17"/>
  <c r="X159" i="17"/>
  <c r="W159" i="17"/>
  <c r="AB159" i="17" s="1"/>
  <c r="V159" i="17"/>
  <c r="AA159" i="17" s="1"/>
  <c r="U159" i="17"/>
  <c r="Z159" i="17" s="1"/>
  <c r="T159" i="17"/>
  <c r="S159" i="17"/>
  <c r="R159" i="17"/>
  <c r="Q159" i="17"/>
  <c r="P159" i="17"/>
  <c r="O159" i="17"/>
  <c r="AB158" i="17"/>
  <c r="Y158" i="17"/>
  <c r="X158" i="17"/>
  <c r="AC158" i="17" s="1"/>
  <c r="W158" i="17"/>
  <c r="V158" i="17"/>
  <c r="AA158" i="17" s="1"/>
  <c r="U158" i="17"/>
  <c r="Z158" i="17" s="1"/>
  <c r="T158" i="17"/>
  <c r="S158" i="17"/>
  <c r="R158" i="17"/>
  <c r="Q158" i="17"/>
  <c r="P158" i="17"/>
  <c r="O158" i="17"/>
  <c r="AA157" i="17"/>
  <c r="Y157" i="17"/>
  <c r="X157" i="17"/>
  <c r="AC157" i="17" s="1"/>
  <c r="W157" i="17"/>
  <c r="AB157" i="17" s="1"/>
  <c r="V157" i="17"/>
  <c r="U157" i="17"/>
  <c r="Z157" i="17" s="1"/>
  <c r="T157" i="17"/>
  <c r="S157" i="17"/>
  <c r="R157" i="17"/>
  <c r="Q157" i="17"/>
  <c r="P157" i="17"/>
  <c r="O157" i="17"/>
  <c r="AB156" i="17"/>
  <c r="Z156" i="17"/>
  <c r="Y156" i="17"/>
  <c r="X156" i="17"/>
  <c r="AC156" i="17" s="1"/>
  <c r="W156" i="17"/>
  <c r="V156" i="17"/>
  <c r="AA156" i="17" s="1"/>
  <c r="U156" i="17"/>
  <c r="T156" i="17"/>
  <c r="S156" i="17"/>
  <c r="R156" i="17"/>
  <c r="Q156" i="17"/>
  <c r="P156" i="17"/>
  <c r="O156" i="17"/>
  <c r="AC155" i="17"/>
  <c r="AA155" i="17"/>
  <c r="Y155" i="17"/>
  <c r="X155" i="17"/>
  <c r="W155" i="17"/>
  <c r="AB155" i="17" s="1"/>
  <c r="V155" i="17"/>
  <c r="U155" i="17"/>
  <c r="Z155" i="17" s="1"/>
  <c r="T155" i="17"/>
  <c r="S155" i="17"/>
  <c r="R155" i="17"/>
  <c r="Q155" i="17"/>
  <c r="P155" i="17"/>
  <c r="O155" i="17"/>
  <c r="AB154" i="17"/>
  <c r="Z154" i="17"/>
  <c r="Y154" i="17"/>
  <c r="X154" i="17"/>
  <c r="AC154" i="17" s="1"/>
  <c r="W154" i="17"/>
  <c r="V154" i="17"/>
  <c r="AA154" i="17" s="1"/>
  <c r="U154" i="17"/>
  <c r="T154" i="17"/>
  <c r="S154" i="17"/>
  <c r="R154" i="17"/>
  <c r="Q154" i="17"/>
  <c r="P154" i="17"/>
  <c r="O154" i="17"/>
  <c r="AC153" i="17"/>
  <c r="AA153" i="17"/>
  <c r="Y153" i="17"/>
  <c r="X153" i="17"/>
  <c r="W153" i="17"/>
  <c r="AB153" i="17" s="1"/>
  <c r="V153" i="17"/>
  <c r="U153" i="17"/>
  <c r="Z153" i="17" s="1"/>
  <c r="T153" i="17"/>
  <c r="S153" i="17"/>
  <c r="R153" i="17"/>
  <c r="Q153" i="17"/>
  <c r="P153" i="17"/>
  <c r="O153" i="17"/>
  <c r="AB152" i="17"/>
  <c r="Z152" i="17"/>
  <c r="Y152" i="17"/>
  <c r="X152" i="17"/>
  <c r="AC152" i="17" s="1"/>
  <c r="W152" i="17"/>
  <c r="V152" i="17"/>
  <c r="AA152" i="17" s="1"/>
  <c r="U152" i="17"/>
  <c r="T152" i="17"/>
  <c r="S152" i="17"/>
  <c r="R152" i="17"/>
  <c r="Q152" i="17"/>
  <c r="P152" i="17"/>
  <c r="O152" i="17"/>
  <c r="AC151" i="17"/>
  <c r="AA151" i="17"/>
  <c r="Y151" i="17"/>
  <c r="X151" i="17"/>
  <c r="W151" i="17"/>
  <c r="AB151" i="17" s="1"/>
  <c r="V151" i="17"/>
  <c r="U151" i="17"/>
  <c r="Z151" i="17" s="1"/>
  <c r="T151" i="17"/>
  <c r="S151" i="17"/>
  <c r="R151" i="17"/>
  <c r="Q151" i="17"/>
  <c r="P151" i="17"/>
  <c r="O151" i="17"/>
  <c r="AB150" i="17"/>
  <c r="Z150" i="17"/>
  <c r="Y150" i="17"/>
  <c r="X150" i="17"/>
  <c r="AC150" i="17" s="1"/>
  <c r="W150" i="17"/>
  <c r="V150" i="17"/>
  <c r="AA150" i="17" s="1"/>
  <c r="U150" i="17"/>
  <c r="T150" i="17"/>
  <c r="S150" i="17"/>
  <c r="R150" i="17"/>
  <c r="Q150" i="17"/>
  <c r="P150" i="17"/>
  <c r="O150" i="17"/>
  <c r="AC149" i="17"/>
  <c r="AA149" i="17"/>
  <c r="Y149" i="17"/>
  <c r="X149" i="17"/>
  <c r="W149" i="17"/>
  <c r="AB149" i="17" s="1"/>
  <c r="V149" i="17"/>
  <c r="U149" i="17"/>
  <c r="Z149" i="17" s="1"/>
  <c r="T149" i="17"/>
  <c r="S149" i="17"/>
  <c r="R149" i="17"/>
  <c r="Q149" i="17"/>
  <c r="P149" i="17"/>
  <c r="O149" i="17"/>
  <c r="AB148" i="17"/>
  <c r="Z148" i="17"/>
  <c r="Y148" i="17"/>
  <c r="X148" i="17"/>
  <c r="AC148" i="17" s="1"/>
  <c r="W148" i="17"/>
  <c r="V148" i="17"/>
  <c r="AA148" i="17" s="1"/>
  <c r="U148" i="17"/>
  <c r="T148" i="17"/>
  <c r="S148" i="17"/>
  <c r="R148" i="17"/>
  <c r="Q148" i="17"/>
  <c r="P148" i="17"/>
  <c r="O148" i="17"/>
  <c r="AC147" i="17"/>
  <c r="AA147" i="17"/>
  <c r="Y147" i="17"/>
  <c r="X147" i="17"/>
  <c r="W147" i="17"/>
  <c r="AB147" i="17" s="1"/>
  <c r="V147" i="17"/>
  <c r="U147" i="17"/>
  <c r="Z147" i="17" s="1"/>
  <c r="T147" i="17"/>
  <c r="S147" i="17"/>
  <c r="R147" i="17"/>
  <c r="Q147" i="17"/>
  <c r="P147" i="17"/>
  <c r="O147" i="17"/>
  <c r="AB146" i="17"/>
  <c r="Z146" i="17"/>
  <c r="Y146" i="17"/>
  <c r="X146" i="17"/>
  <c r="AC146" i="17" s="1"/>
  <c r="W146" i="17"/>
  <c r="V146" i="17"/>
  <c r="AA146" i="17" s="1"/>
  <c r="U146" i="17"/>
  <c r="T146" i="17"/>
  <c r="S146" i="17"/>
  <c r="R146" i="17"/>
  <c r="Q146" i="17"/>
  <c r="P146" i="17"/>
  <c r="O146" i="17"/>
  <c r="AC145" i="17"/>
  <c r="AA145" i="17"/>
  <c r="Y145" i="17"/>
  <c r="X145" i="17"/>
  <c r="W145" i="17"/>
  <c r="AB145" i="17" s="1"/>
  <c r="V145" i="17"/>
  <c r="U145" i="17"/>
  <c r="Z145" i="17" s="1"/>
  <c r="T145" i="17"/>
  <c r="S145" i="17"/>
  <c r="R145" i="17"/>
  <c r="Q145" i="17"/>
  <c r="P145" i="17"/>
  <c r="O145" i="17"/>
  <c r="AB144" i="17"/>
  <c r="Z144" i="17"/>
  <c r="Y144" i="17"/>
  <c r="X144" i="17"/>
  <c r="AC144" i="17" s="1"/>
  <c r="W144" i="17"/>
  <c r="V144" i="17"/>
  <c r="AA144" i="17" s="1"/>
  <c r="U144" i="17"/>
  <c r="T144" i="17"/>
  <c r="S144" i="17"/>
  <c r="R144" i="17"/>
  <c r="Q144" i="17"/>
  <c r="P144" i="17"/>
  <c r="O144" i="17"/>
  <c r="AC143" i="17"/>
  <c r="AA143" i="17"/>
  <c r="Y143" i="17"/>
  <c r="X143" i="17"/>
  <c r="W143" i="17"/>
  <c r="AB143" i="17" s="1"/>
  <c r="V143" i="17"/>
  <c r="U143" i="17"/>
  <c r="Z143" i="17" s="1"/>
  <c r="T143" i="17"/>
  <c r="S143" i="17"/>
  <c r="R143" i="17"/>
  <c r="Q143" i="17"/>
  <c r="P143" i="17"/>
  <c r="O143" i="17"/>
  <c r="AB142" i="17"/>
  <c r="Z142" i="17"/>
  <c r="Y142" i="17"/>
  <c r="X142" i="17"/>
  <c r="AC142" i="17" s="1"/>
  <c r="W142" i="17"/>
  <c r="V142" i="17"/>
  <c r="AA142" i="17" s="1"/>
  <c r="U142" i="17"/>
  <c r="T142" i="17"/>
  <c r="S142" i="17"/>
  <c r="R142" i="17"/>
  <c r="Q142" i="17"/>
  <c r="P142" i="17"/>
  <c r="O142" i="17"/>
  <c r="AC141" i="17"/>
  <c r="AA141" i="17"/>
  <c r="Y141" i="17"/>
  <c r="X141" i="17"/>
  <c r="W141" i="17"/>
  <c r="AB141" i="17" s="1"/>
  <c r="V141" i="17"/>
  <c r="U141" i="17"/>
  <c r="Z141" i="17" s="1"/>
  <c r="T141" i="17"/>
  <c r="S141" i="17"/>
  <c r="R141" i="17"/>
  <c r="Q141" i="17"/>
  <c r="P141" i="17"/>
  <c r="O141" i="17"/>
  <c r="Z140" i="17"/>
  <c r="Y140" i="17"/>
  <c r="X140" i="17"/>
  <c r="AC140" i="17" s="1"/>
  <c r="W140" i="17"/>
  <c r="AB140" i="17" s="1"/>
  <c r="V140" i="17"/>
  <c r="AA140" i="17" s="1"/>
  <c r="U140" i="17"/>
  <c r="T140" i="17"/>
  <c r="S140" i="17"/>
  <c r="R140" i="17"/>
  <c r="Q140" i="17"/>
  <c r="P140" i="17"/>
  <c r="O140" i="17"/>
  <c r="AC139" i="17"/>
  <c r="Y139" i="17"/>
  <c r="X139" i="17"/>
  <c r="W139" i="17"/>
  <c r="AB139" i="17" s="1"/>
  <c r="V139" i="17"/>
  <c r="AA139" i="17" s="1"/>
  <c r="U139" i="17"/>
  <c r="Z139" i="17" s="1"/>
  <c r="T139" i="17"/>
  <c r="S139" i="17"/>
  <c r="R139" i="17"/>
  <c r="Q139" i="17"/>
  <c r="P139" i="17"/>
  <c r="O139" i="17"/>
  <c r="AB138" i="17"/>
  <c r="Y138" i="17"/>
  <c r="X138" i="17"/>
  <c r="AC138" i="17" s="1"/>
  <c r="W138" i="17"/>
  <c r="V138" i="17"/>
  <c r="AA138" i="17" s="1"/>
  <c r="U138" i="17"/>
  <c r="Z138" i="17" s="1"/>
  <c r="T138" i="17"/>
  <c r="S138" i="17"/>
  <c r="R138" i="17"/>
  <c r="Q138" i="17"/>
  <c r="P138" i="17"/>
  <c r="O138" i="17"/>
  <c r="AA137" i="17"/>
  <c r="Y137" i="17"/>
  <c r="X137" i="17"/>
  <c r="AC137" i="17" s="1"/>
  <c r="W137" i="17"/>
  <c r="AB137" i="17" s="1"/>
  <c r="V137" i="17"/>
  <c r="U137" i="17"/>
  <c r="Z137" i="17" s="1"/>
  <c r="T137" i="17"/>
  <c r="S137" i="17"/>
  <c r="R137" i="17"/>
  <c r="Q137" i="17"/>
  <c r="P137" i="17"/>
  <c r="O137" i="17"/>
  <c r="Z136" i="17"/>
  <c r="Y136" i="17"/>
  <c r="X136" i="17"/>
  <c r="AC136" i="17" s="1"/>
  <c r="W136" i="17"/>
  <c r="AB136" i="17" s="1"/>
  <c r="V136" i="17"/>
  <c r="AA136" i="17" s="1"/>
  <c r="U136" i="17"/>
  <c r="T136" i="17"/>
  <c r="S136" i="17"/>
  <c r="R136" i="17"/>
  <c r="Q136" i="17"/>
  <c r="P136" i="17"/>
  <c r="O136" i="17"/>
  <c r="AC135" i="17"/>
  <c r="Y135" i="17"/>
  <c r="X135" i="17"/>
  <c r="W135" i="17"/>
  <c r="AB135" i="17" s="1"/>
  <c r="V135" i="17"/>
  <c r="AA135" i="17" s="1"/>
  <c r="U135" i="17"/>
  <c r="Z135" i="17" s="1"/>
  <c r="T135" i="17"/>
  <c r="S135" i="17"/>
  <c r="R135" i="17"/>
  <c r="Q135" i="17"/>
  <c r="P135" i="17"/>
  <c r="O135" i="17"/>
  <c r="AB134" i="17"/>
  <c r="Y134" i="17"/>
  <c r="X134" i="17"/>
  <c r="AC134" i="17" s="1"/>
  <c r="W134" i="17"/>
  <c r="V134" i="17"/>
  <c r="AA134" i="17" s="1"/>
  <c r="U134" i="17"/>
  <c r="Z134" i="17" s="1"/>
  <c r="T134" i="17"/>
  <c r="S134" i="17"/>
  <c r="R134" i="17"/>
  <c r="Q134" i="17"/>
  <c r="P134" i="17"/>
  <c r="O134" i="17"/>
  <c r="AA133" i="17"/>
  <c r="Y133" i="17"/>
  <c r="X133" i="17"/>
  <c r="AC133" i="17" s="1"/>
  <c r="W133" i="17"/>
  <c r="AB133" i="17" s="1"/>
  <c r="V133" i="17"/>
  <c r="U133" i="17"/>
  <c r="Z133" i="17" s="1"/>
  <c r="T133" i="17"/>
  <c r="S133" i="17"/>
  <c r="R133" i="17"/>
  <c r="Q133" i="17"/>
  <c r="P133" i="17"/>
  <c r="O133" i="17"/>
  <c r="Z132" i="17"/>
  <c r="Y132" i="17"/>
  <c r="X132" i="17"/>
  <c r="AC132" i="17" s="1"/>
  <c r="W132" i="17"/>
  <c r="AB132" i="17" s="1"/>
  <c r="V132" i="17"/>
  <c r="AA132" i="17" s="1"/>
  <c r="U132" i="17"/>
  <c r="T132" i="17"/>
  <c r="S132" i="17"/>
  <c r="R132" i="17"/>
  <c r="Q132" i="17"/>
  <c r="P132" i="17"/>
  <c r="O132" i="17"/>
  <c r="AC131" i="17"/>
  <c r="Y131" i="17"/>
  <c r="X131" i="17"/>
  <c r="W131" i="17"/>
  <c r="AB131" i="17" s="1"/>
  <c r="V131" i="17"/>
  <c r="AA131" i="17" s="1"/>
  <c r="U131" i="17"/>
  <c r="Z131" i="17" s="1"/>
  <c r="T131" i="17"/>
  <c r="S131" i="17"/>
  <c r="R131" i="17"/>
  <c r="Q131" i="17"/>
  <c r="P131" i="17"/>
  <c r="O131" i="17"/>
  <c r="AB130" i="17"/>
  <c r="Y130" i="17"/>
  <c r="X130" i="17"/>
  <c r="AC130" i="17" s="1"/>
  <c r="W130" i="17"/>
  <c r="V130" i="17"/>
  <c r="AA130" i="17" s="1"/>
  <c r="U130" i="17"/>
  <c r="Z130" i="17" s="1"/>
  <c r="T130" i="17"/>
  <c r="S130" i="17"/>
  <c r="R130" i="17"/>
  <c r="Q130" i="17"/>
  <c r="P130" i="17"/>
  <c r="O130" i="17"/>
  <c r="AA129" i="17"/>
  <c r="Y129" i="17"/>
  <c r="X129" i="17"/>
  <c r="AC129" i="17" s="1"/>
  <c r="W129" i="17"/>
  <c r="AB129" i="17" s="1"/>
  <c r="V129" i="17"/>
  <c r="U129" i="17"/>
  <c r="Z129" i="17" s="1"/>
  <c r="T129" i="17"/>
  <c r="S129" i="17"/>
  <c r="R129" i="17"/>
  <c r="Q129" i="17"/>
  <c r="P129" i="17"/>
  <c r="O129" i="17"/>
  <c r="Z128" i="17"/>
  <c r="Y128" i="17"/>
  <c r="X128" i="17"/>
  <c r="AC128" i="17" s="1"/>
  <c r="W128" i="17"/>
  <c r="AB128" i="17" s="1"/>
  <c r="V128" i="17"/>
  <c r="AA128" i="17" s="1"/>
  <c r="U128" i="17"/>
  <c r="T128" i="17"/>
  <c r="S128" i="17"/>
  <c r="R128" i="17"/>
  <c r="Q128" i="17"/>
  <c r="P128" i="17"/>
  <c r="O128" i="17"/>
  <c r="AC127" i="17"/>
  <c r="Y127" i="17"/>
  <c r="X127" i="17"/>
  <c r="W127" i="17"/>
  <c r="AB127" i="17" s="1"/>
  <c r="V127" i="17"/>
  <c r="AA127" i="17" s="1"/>
  <c r="U127" i="17"/>
  <c r="Z127" i="17" s="1"/>
  <c r="T127" i="17"/>
  <c r="S127" i="17"/>
  <c r="R127" i="17"/>
  <c r="Q127" i="17"/>
  <c r="P127" i="17"/>
  <c r="O127" i="17"/>
  <c r="AB126" i="17"/>
  <c r="Y126" i="17"/>
  <c r="X126" i="17"/>
  <c r="AC126" i="17" s="1"/>
  <c r="W126" i="17"/>
  <c r="V126" i="17"/>
  <c r="AA126" i="17" s="1"/>
  <c r="U126" i="17"/>
  <c r="Z126" i="17" s="1"/>
  <c r="T126" i="17"/>
  <c r="S126" i="17"/>
  <c r="R126" i="17"/>
  <c r="Q126" i="17"/>
  <c r="P126" i="17"/>
  <c r="O126" i="17"/>
  <c r="AA125" i="17"/>
  <c r="Y125" i="17"/>
  <c r="X125" i="17"/>
  <c r="AC125" i="17" s="1"/>
  <c r="W125" i="17"/>
  <c r="AB125" i="17" s="1"/>
  <c r="V125" i="17"/>
  <c r="U125" i="17"/>
  <c r="Z125" i="17" s="1"/>
  <c r="T125" i="17"/>
  <c r="S125" i="17"/>
  <c r="R125" i="17"/>
  <c r="Q125" i="17"/>
  <c r="P125" i="17"/>
  <c r="O125" i="17"/>
  <c r="Z124" i="17"/>
  <c r="Y124" i="17"/>
  <c r="X124" i="17"/>
  <c r="AC124" i="17" s="1"/>
  <c r="W124" i="17"/>
  <c r="AB124" i="17" s="1"/>
  <c r="V124" i="17"/>
  <c r="AA124" i="17" s="1"/>
  <c r="U124" i="17"/>
  <c r="T124" i="17"/>
  <c r="S124" i="17"/>
  <c r="R124" i="17"/>
  <c r="Q124" i="17"/>
  <c r="P124" i="17"/>
  <c r="O124" i="17"/>
  <c r="AC123" i="17"/>
  <c r="Y123" i="17"/>
  <c r="X123" i="17"/>
  <c r="W123" i="17"/>
  <c r="AB123" i="17" s="1"/>
  <c r="V123" i="17"/>
  <c r="AA123" i="17" s="1"/>
  <c r="U123" i="17"/>
  <c r="Z123" i="17" s="1"/>
  <c r="T123" i="17"/>
  <c r="S123" i="17"/>
  <c r="R123" i="17"/>
  <c r="Q123" i="17"/>
  <c r="P123" i="17"/>
  <c r="O123" i="17"/>
  <c r="AB122" i="17"/>
  <c r="Y122" i="17"/>
  <c r="X122" i="17"/>
  <c r="AC122" i="17" s="1"/>
  <c r="W122" i="17"/>
  <c r="V122" i="17"/>
  <c r="AA122" i="17" s="1"/>
  <c r="U122" i="17"/>
  <c r="Z122" i="17" s="1"/>
  <c r="T122" i="17"/>
  <c r="S122" i="17"/>
  <c r="R122" i="17"/>
  <c r="Q122" i="17"/>
  <c r="P122" i="17"/>
  <c r="O122" i="17"/>
  <c r="AA121" i="17"/>
  <c r="Y121" i="17"/>
  <c r="X121" i="17"/>
  <c r="AC121" i="17" s="1"/>
  <c r="W121" i="17"/>
  <c r="AB121" i="17" s="1"/>
  <c r="V121" i="17"/>
  <c r="U121" i="17"/>
  <c r="Z121" i="17" s="1"/>
  <c r="T121" i="17"/>
  <c r="S121" i="17"/>
  <c r="R121" i="17"/>
  <c r="Q121" i="17"/>
  <c r="P121" i="17"/>
  <c r="O121" i="17"/>
  <c r="Z120" i="17"/>
  <c r="Y120" i="17"/>
  <c r="X120" i="17"/>
  <c r="AC120" i="17" s="1"/>
  <c r="W120" i="17"/>
  <c r="AB120" i="17" s="1"/>
  <c r="V120" i="17"/>
  <c r="AA120" i="17" s="1"/>
  <c r="U120" i="17"/>
  <c r="T120" i="17"/>
  <c r="S120" i="17"/>
  <c r="R120" i="17"/>
  <c r="Q120" i="17"/>
  <c r="P120" i="17"/>
  <c r="O120" i="17"/>
  <c r="AC119" i="17"/>
  <c r="Y119" i="17"/>
  <c r="X119" i="17"/>
  <c r="W119" i="17"/>
  <c r="AB119" i="17" s="1"/>
  <c r="V119" i="17"/>
  <c r="AA119" i="17" s="1"/>
  <c r="U119" i="17"/>
  <c r="Z119" i="17" s="1"/>
  <c r="T119" i="17"/>
  <c r="S119" i="17"/>
  <c r="R119" i="17"/>
  <c r="Q119" i="17"/>
  <c r="P119" i="17"/>
  <c r="O119" i="17"/>
  <c r="AB118" i="17"/>
  <c r="Y118" i="17"/>
  <c r="X118" i="17"/>
  <c r="AC118" i="17" s="1"/>
  <c r="W118" i="17"/>
  <c r="V118" i="17"/>
  <c r="AA118" i="17" s="1"/>
  <c r="U118" i="17"/>
  <c r="Z118" i="17" s="1"/>
  <c r="T118" i="17"/>
  <c r="S118" i="17"/>
  <c r="R118" i="17"/>
  <c r="Q118" i="17"/>
  <c r="P118" i="17"/>
  <c r="O118" i="17"/>
  <c r="AA117" i="17"/>
  <c r="Y117" i="17"/>
  <c r="X117" i="17"/>
  <c r="AC117" i="17" s="1"/>
  <c r="W117" i="17"/>
  <c r="AB117" i="17" s="1"/>
  <c r="V117" i="17"/>
  <c r="U117" i="17"/>
  <c r="Z117" i="17" s="1"/>
  <c r="T117" i="17"/>
  <c r="S117" i="17"/>
  <c r="R117" i="17"/>
  <c r="Q117" i="17"/>
  <c r="P117" i="17"/>
  <c r="O117" i="17"/>
  <c r="Z116" i="17"/>
  <c r="Y116" i="17"/>
  <c r="X116" i="17"/>
  <c r="AC116" i="17" s="1"/>
  <c r="W116" i="17"/>
  <c r="AB116" i="17" s="1"/>
  <c r="V116" i="17"/>
  <c r="AA116" i="17" s="1"/>
  <c r="U116" i="17"/>
  <c r="T116" i="17"/>
  <c r="S116" i="17"/>
  <c r="R116" i="17"/>
  <c r="Q116" i="17"/>
  <c r="P116" i="17"/>
  <c r="O116" i="17"/>
  <c r="AC115" i="17"/>
  <c r="Y115" i="17"/>
  <c r="X115" i="17"/>
  <c r="W115" i="17"/>
  <c r="AB115" i="17" s="1"/>
  <c r="V115" i="17"/>
  <c r="AA115" i="17" s="1"/>
  <c r="U115" i="17"/>
  <c r="Z115" i="17" s="1"/>
  <c r="T115" i="17"/>
  <c r="S115" i="17"/>
  <c r="R115" i="17"/>
  <c r="Q115" i="17"/>
  <c r="P115" i="17"/>
  <c r="O115" i="17"/>
  <c r="AB114" i="17"/>
  <c r="Y114" i="17"/>
  <c r="X114" i="17"/>
  <c r="AC114" i="17" s="1"/>
  <c r="W114" i="17"/>
  <c r="V114" i="17"/>
  <c r="AA114" i="17" s="1"/>
  <c r="U114" i="17"/>
  <c r="Z114" i="17" s="1"/>
  <c r="T114" i="17"/>
  <c r="S114" i="17"/>
  <c r="R114" i="17"/>
  <c r="Q114" i="17"/>
  <c r="P114" i="17"/>
  <c r="O114" i="17"/>
  <c r="AA113" i="17"/>
  <c r="Y113" i="17"/>
  <c r="X113" i="17"/>
  <c r="AC113" i="17" s="1"/>
  <c r="W113" i="17"/>
  <c r="AB113" i="17" s="1"/>
  <c r="V113" i="17"/>
  <c r="U113" i="17"/>
  <c r="Z113" i="17" s="1"/>
  <c r="T113" i="17"/>
  <c r="S113" i="17"/>
  <c r="R113" i="17"/>
  <c r="Q113" i="17"/>
  <c r="P113" i="17"/>
  <c r="O113" i="17"/>
  <c r="Z112" i="17"/>
  <c r="Y112" i="17"/>
  <c r="X112" i="17"/>
  <c r="AC112" i="17" s="1"/>
  <c r="W112" i="17"/>
  <c r="AB112" i="17" s="1"/>
  <c r="V112" i="17"/>
  <c r="AA112" i="17" s="1"/>
  <c r="U112" i="17"/>
  <c r="T112" i="17"/>
  <c r="S112" i="17"/>
  <c r="R112" i="17"/>
  <c r="Q112" i="17"/>
  <c r="P112" i="17"/>
  <c r="O112" i="17"/>
  <c r="AC111" i="17"/>
  <c r="Y111" i="17"/>
  <c r="X111" i="17"/>
  <c r="W111" i="17"/>
  <c r="AB111" i="17" s="1"/>
  <c r="V111" i="17"/>
  <c r="AA111" i="17" s="1"/>
  <c r="U111" i="17"/>
  <c r="Z111" i="17" s="1"/>
  <c r="T111" i="17"/>
  <c r="S111" i="17"/>
  <c r="R111" i="17"/>
  <c r="Q111" i="17"/>
  <c r="P111" i="17"/>
  <c r="O111" i="17"/>
  <c r="AB110" i="17"/>
  <c r="AA110" i="17"/>
  <c r="Y110" i="17"/>
  <c r="X110" i="17"/>
  <c r="AC110" i="17" s="1"/>
  <c r="W110" i="17"/>
  <c r="V110" i="17"/>
  <c r="U110" i="17"/>
  <c r="Z110" i="17" s="1"/>
  <c r="T110" i="17"/>
  <c r="S110" i="17"/>
  <c r="R110" i="17"/>
  <c r="Q110" i="17"/>
  <c r="P110" i="17"/>
  <c r="O110" i="17"/>
  <c r="AA109" i="17"/>
  <c r="Z109" i="17"/>
  <c r="Y109" i="17"/>
  <c r="X109" i="17"/>
  <c r="AC109" i="17" s="1"/>
  <c r="W109" i="17"/>
  <c r="AB109" i="17" s="1"/>
  <c r="V109" i="17"/>
  <c r="U109" i="17"/>
  <c r="T109" i="17"/>
  <c r="S109" i="17"/>
  <c r="R109" i="17"/>
  <c r="Q109" i="17"/>
  <c r="P109" i="17"/>
  <c r="O109" i="17"/>
  <c r="AC108" i="17"/>
  <c r="Z108" i="17"/>
  <c r="Y108" i="17"/>
  <c r="X108" i="17"/>
  <c r="W108" i="17"/>
  <c r="AB108" i="17" s="1"/>
  <c r="V108" i="17"/>
  <c r="AA108" i="17" s="1"/>
  <c r="U108" i="17"/>
  <c r="T108" i="17"/>
  <c r="S108" i="17"/>
  <c r="R108" i="17"/>
  <c r="Q108" i="17"/>
  <c r="P108" i="17"/>
  <c r="O108" i="17"/>
  <c r="AC107" i="17"/>
  <c r="AB107" i="17"/>
  <c r="Y107" i="17"/>
  <c r="X107" i="17"/>
  <c r="W107" i="17"/>
  <c r="V107" i="17"/>
  <c r="AA107" i="17" s="1"/>
  <c r="U107" i="17"/>
  <c r="Z107" i="17" s="1"/>
  <c r="T107" i="17"/>
  <c r="S107" i="17"/>
  <c r="R107" i="17"/>
  <c r="Q107" i="17"/>
  <c r="P107" i="17"/>
  <c r="O107" i="17"/>
  <c r="AB106" i="17"/>
  <c r="AA106" i="17"/>
  <c r="Y106" i="17"/>
  <c r="X106" i="17"/>
  <c r="AC106" i="17" s="1"/>
  <c r="W106" i="17"/>
  <c r="V106" i="17"/>
  <c r="U106" i="17"/>
  <c r="Z106" i="17" s="1"/>
  <c r="T106" i="17"/>
  <c r="S106" i="17"/>
  <c r="R106" i="17"/>
  <c r="Q106" i="17"/>
  <c r="P106" i="17"/>
  <c r="O106" i="17"/>
  <c r="AA105" i="17"/>
  <c r="Z105" i="17"/>
  <c r="Y105" i="17"/>
  <c r="X105" i="17"/>
  <c r="AC105" i="17" s="1"/>
  <c r="W105" i="17"/>
  <c r="AB105" i="17" s="1"/>
  <c r="V105" i="17"/>
  <c r="U105" i="17"/>
  <c r="T105" i="17"/>
  <c r="S105" i="17"/>
  <c r="R105" i="17"/>
  <c r="Q105" i="17"/>
  <c r="P105" i="17"/>
  <c r="O105" i="17"/>
  <c r="AC104" i="17"/>
  <c r="Z104" i="17"/>
  <c r="Y104" i="17"/>
  <c r="X104" i="17"/>
  <c r="W104" i="17"/>
  <c r="AB104" i="17" s="1"/>
  <c r="V104" i="17"/>
  <c r="AA104" i="17" s="1"/>
  <c r="U104" i="17"/>
  <c r="T104" i="17"/>
  <c r="S104" i="17"/>
  <c r="R104" i="17"/>
  <c r="Q104" i="17"/>
  <c r="P104" i="17"/>
  <c r="O104" i="17"/>
  <c r="AC103" i="17"/>
  <c r="AB103" i="17"/>
  <c r="Y103" i="17"/>
  <c r="X103" i="17"/>
  <c r="W103" i="17"/>
  <c r="V103" i="17"/>
  <c r="AA103" i="17" s="1"/>
  <c r="U103" i="17"/>
  <c r="Z103" i="17" s="1"/>
  <c r="T103" i="17"/>
  <c r="S103" i="17"/>
  <c r="R103" i="17"/>
  <c r="Q103" i="17"/>
  <c r="P103" i="17"/>
  <c r="O103" i="17"/>
  <c r="AB102" i="17"/>
  <c r="AA102" i="17"/>
  <c r="Y102" i="17"/>
  <c r="X102" i="17"/>
  <c r="AC102" i="17" s="1"/>
  <c r="W102" i="17"/>
  <c r="V102" i="17"/>
  <c r="U102" i="17"/>
  <c r="Z102" i="17" s="1"/>
  <c r="T102" i="17"/>
  <c r="S102" i="17"/>
  <c r="R102" i="17"/>
  <c r="Q102" i="17"/>
  <c r="P102" i="17"/>
  <c r="O102" i="17"/>
  <c r="AA101" i="17"/>
  <c r="Z101" i="17"/>
  <c r="Y101" i="17"/>
  <c r="X101" i="17"/>
  <c r="AC101" i="17" s="1"/>
  <c r="W101" i="17"/>
  <c r="AB101" i="17" s="1"/>
  <c r="V101" i="17"/>
  <c r="U101" i="17"/>
  <c r="T101" i="17"/>
  <c r="S101" i="17"/>
  <c r="R101" i="17"/>
  <c r="Q101" i="17"/>
  <c r="P101" i="17"/>
  <c r="O101" i="17"/>
  <c r="AC100" i="17"/>
  <c r="Z100" i="17"/>
  <c r="Y100" i="17"/>
  <c r="X100" i="17"/>
  <c r="W100" i="17"/>
  <c r="AB100" i="17" s="1"/>
  <c r="V100" i="17"/>
  <c r="AA100" i="17" s="1"/>
  <c r="U100" i="17"/>
  <c r="T100" i="17"/>
  <c r="S100" i="17"/>
  <c r="R100" i="17"/>
  <c r="Q100" i="17"/>
  <c r="P100" i="17"/>
  <c r="O100" i="17"/>
  <c r="AC99" i="17"/>
  <c r="AB99" i="17"/>
  <c r="Y99" i="17"/>
  <c r="X99" i="17"/>
  <c r="W99" i="17"/>
  <c r="V99" i="17"/>
  <c r="AA99" i="17" s="1"/>
  <c r="U99" i="17"/>
  <c r="Z99" i="17" s="1"/>
  <c r="T99" i="17"/>
  <c r="S99" i="17"/>
  <c r="R99" i="17"/>
  <c r="Q99" i="17"/>
  <c r="P99" i="17"/>
  <c r="O99" i="17"/>
  <c r="AB98" i="17"/>
  <c r="AA98" i="17"/>
  <c r="Y98" i="17"/>
  <c r="X98" i="17"/>
  <c r="AC98" i="17" s="1"/>
  <c r="W98" i="17"/>
  <c r="V98" i="17"/>
  <c r="U98" i="17"/>
  <c r="Z98" i="17" s="1"/>
  <c r="T98" i="17"/>
  <c r="S98" i="17"/>
  <c r="R98" i="17"/>
  <c r="Q98" i="17"/>
  <c r="P98" i="17"/>
  <c r="O98" i="17"/>
  <c r="AA97" i="17"/>
  <c r="Z97" i="17"/>
  <c r="Y97" i="17"/>
  <c r="X97" i="17"/>
  <c r="AC97" i="17" s="1"/>
  <c r="W97" i="17"/>
  <c r="AB97" i="17" s="1"/>
  <c r="V97" i="17"/>
  <c r="U97" i="17"/>
  <c r="T97" i="17"/>
  <c r="S97" i="17"/>
  <c r="R97" i="17"/>
  <c r="Q97" i="17"/>
  <c r="P97" i="17"/>
  <c r="O97" i="17"/>
  <c r="AC96" i="17"/>
  <c r="Z96" i="17"/>
  <c r="Y96" i="17"/>
  <c r="X96" i="17"/>
  <c r="W96" i="17"/>
  <c r="AB96" i="17" s="1"/>
  <c r="V96" i="17"/>
  <c r="AA96" i="17" s="1"/>
  <c r="U96" i="17"/>
  <c r="T96" i="17"/>
  <c r="S96" i="17"/>
  <c r="R96" i="17"/>
  <c r="Q96" i="17"/>
  <c r="P96" i="17"/>
  <c r="O96" i="17"/>
  <c r="AC95" i="17"/>
  <c r="AB95" i="17"/>
  <c r="Y95" i="17"/>
  <c r="X95" i="17"/>
  <c r="W95" i="17"/>
  <c r="V95" i="17"/>
  <c r="AA95" i="17" s="1"/>
  <c r="U95" i="17"/>
  <c r="Z95" i="17" s="1"/>
  <c r="T95" i="17"/>
  <c r="S95" i="17"/>
  <c r="R95" i="17"/>
  <c r="Q95" i="17"/>
  <c r="P95" i="17"/>
  <c r="O95" i="17"/>
  <c r="AB94" i="17"/>
  <c r="AA94" i="17"/>
  <c r="Y94" i="17"/>
  <c r="X94" i="17"/>
  <c r="AC94" i="17" s="1"/>
  <c r="W94" i="17"/>
  <c r="V94" i="17"/>
  <c r="U94" i="17"/>
  <c r="Z94" i="17" s="1"/>
  <c r="T94" i="17"/>
  <c r="S94" i="17"/>
  <c r="R94" i="17"/>
  <c r="Q94" i="17"/>
  <c r="P94" i="17"/>
  <c r="O94" i="17"/>
  <c r="AA93" i="17"/>
  <c r="Y93" i="17"/>
  <c r="X93" i="17"/>
  <c r="AC93" i="17" s="1"/>
  <c r="W93" i="17"/>
  <c r="AB93" i="17" s="1"/>
  <c r="V93" i="17"/>
  <c r="U93" i="17"/>
  <c r="Z93" i="17" s="1"/>
  <c r="T93" i="17"/>
  <c r="S93" i="17"/>
  <c r="R93" i="17"/>
  <c r="Q93" i="17"/>
  <c r="P93" i="17"/>
  <c r="O93" i="17"/>
  <c r="Z92" i="17"/>
  <c r="Y92" i="17"/>
  <c r="X92" i="17"/>
  <c r="AC92" i="17" s="1"/>
  <c r="W92" i="17"/>
  <c r="AB92" i="17" s="1"/>
  <c r="V92" i="17"/>
  <c r="AA92" i="17" s="1"/>
  <c r="U92" i="17"/>
  <c r="T92" i="17"/>
  <c r="S92" i="17"/>
  <c r="R92" i="17"/>
  <c r="Q92" i="17"/>
  <c r="P92" i="17"/>
  <c r="O92" i="17"/>
  <c r="AC91" i="17"/>
  <c r="Y91" i="17"/>
  <c r="X91" i="17"/>
  <c r="W91" i="17"/>
  <c r="AB91" i="17" s="1"/>
  <c r="V91" i="17"/>
  <c r="AA91" i="17" s="1"/>
  <c r="U91" i="17"/>
  <c r="Z91" i="17" s="1"/>
  <c r="T91" i="17"/>
  <c r="S91" i="17"/>
  <c r="R91" i="17"/>
  <c r="Q91" i="17"/>
  <c r="P91" i="17"/>
  <c r="O91" i="17"/>
  <c r="AB90" i="17"/>
  <c r="Y90" i="17"/>
  <c r="X90" i="17"/>
  <c r="AC90" i="17" s="1"/>
  <c r="W90" i="17"/>
  <c r="V90" i="17"/>
  <c r="AA90" i="17" s="1"/>
  <c r="U90" i="17"/>
  <c r="Z90" i="17" s="1"/>
  <c r="T90" i="17"/>
  <c r="S90" i="17"/>
  <c r="R90" i="17"/>
  <c r="Q90" i="17"/>
  <c r="P90" i="17"/>
  <c r="O90" i="17"/>
  <c r="AA89" i="17"/>
  <c r="Y89" i="17"/>
  <c r="X89" i="17"/>
  <c r="AC89" i="17" s="1"/>
  <c r="W89" i="17"/>
  <c r="AB89" i="17" s="1"/>
  <c r="V89" i="17"/>
  <c r="U89" i="17"/>
  <c r="Z89" i="17" s="1"/>
  <c r="T89" i="17"/>
  <c r="S89" i="17"/>
  <c r="R89" i="17"/>
  <c r="Q89" i="17"/>
  <c r="P89" i="17"/>
  <c r="O89" i="17"/>
  <c r="Z88" i="17"/>
  <c r="Y88" i="17"/>
  <c r="X88" i="17"/>
  <c r="AC88" i="17" s="1"/>
  <c r="W88" i="17"/>
  <c r="AB88" i="17" s="1"/>
  <c r="V88" i="17"/>
  <c r="AA88" i="17" s="1"/>
  <c r="U88" i="17"/>
  <c r="T88" i="17"/>
  <c r="S88" i="17"/>
  <c r="R88" i="17"/>
  <c r="Q88" i="17"/>
  <c r="P88" i="17"/>
  <c r="O88" i="17"/>
  <c r="AC87" i="17"/>
  <c r="Y87" i="17"/>
  <c r="X87" i="17"/>
  <c r="W87" i="17"/>
  <c r="AB87" i="17" s="1"/>
  <c r="V87" i="17"/>
  <c r="AA87" i="17" s="1"/>
  <c r="U87" i="17"/>
  <c r="Z87" i="17" s="1"/>
  <c r="T87" i="17"/>
  <c r="S87" i="17"/>
  <c r="R87" i="17"/>
  <c r="Q87" i="17"/>
  <c r="P87" i="17"/>
  <c r="O87" i="17"/>
  <c r="AB86" i="17"/>
  <c r="Y86" i="17"/>
  <c r="X86" i="17"/>
  <c r="AC86" i="17" s="1"/>
  <c r="W86" i="17"/>
  <c r="V86" i="17"/>
  <c r="AA86" i="17" s="1"/>
  <c r="U86" i="17"/>
  <c r="Z86" i="17" s="1"/>
  <c r="T86" i="17"/>
  <c r="S86" i="17"/>
  <c r="R86" i="17"/>
  <c r="Q86" i="17"/>
  <c r="P86" i="17"/>
  <c r="O86" i="17"/>
  <c r="AA85" i="17"/>
  <c r="Y85" i="17"/>
  <c r="X85" i="17"/>
  <c r="AC85" i="17" s="1"/>
  <c r="W85" i="17"/>
  <c r="AB85" i="17" s="1"/>
  <c r="V85" i="17"/>
  <c r="U85" i="17"/>
  <c r="Z85" i="17" s="1"/>
  <c r="T85" i="17"/>
  <c r="S85" i="17"/>
  <c r="R85" i="17"/>
  <c r="Q85" i="17"/>
  <c r="P85" i="17"/>
  <c r="O85" i="17"/>
  <c r="Z84" i="17"/>
  <c r="Y84" i="17"/>
  <c r="X84" i="17"/>
  <c r="AC84" i="17" s="1"/>
  <c r="W84" i="17"/>
  <c r="AB84" i="17" s="1"/>
  <c r="V84" i="17"/>
  <c r="AA84" i="17" s="1"/>
  <c r="U84" i="17"/>
  <c r="T84" i="17"/>
  <c r="S84" i="17"/>
  <c r="R84" i="17"/>
  <c r="Q84" i="17"/>
  <c r="P84" i="17"/>
  <c r="O84" i="17"/>
  <c r="AC83" i="17"/>
  <c r="Y83" i="17"/>
  <c r="X83" i="17"/>
  <c r="W83" i="17"/>
  <c r="AB83" i="17" s="1"/>
  <c r="V83" i="17"/>
  <c r="AA83" i="17" s="1"/>
  <c r="U83" i="17"/>
  <c r="Z83" i="17" s="1"/>
  <c r="T83" i="17"/>
  <c r="S83" i="17"/>
  <c r="R83" i="17"/>
  <c r="Q83" i="17"/>
  <c r="P83" i="17"/>
  <c r="O83" i="17"/>
  <c r="AB82" i="17"/>
  <c r="Y82" i="17"/>
  <c r="X82" i="17"/>
  <c r="AC82" i="17" s="1"/>
  <c r="W82" i="17"/>
  <c r="V82" i="17"/>
  <c r="AA82" i="17" s="1"/>
  <c r="U82" i="17"/>
  <c r="Z82" i="17" s="1"/>
  <c r="T82" i="17"/>
  <c r="S82" i="17"/>
  <c r="R82" i="17"/>
  <c r="Q82" i="17"/>
  <c r="P82" i="17"/>
  <c r="O82" i="17"/>
  <c r="AA81" i="17"/>
  <c r="Z81" i="17"/>
  <c r="Y81" i="17"/>
  <c r="X81" i="17"/>
  <c r="AC81" i="17" s="1"/>
  <c r="W81" i="17"/>
  <c r="AB81" i="17" s="1"/>
  <c r="V81" i="17"/>
  <c r="U81" i="17"/>
  <c r="T81" i="17"/>
  <c r="S81" i="17"/>
  <c r="R81" i="17"/>
  <c r="Q81" i="17"/>
  <c r="P81" i="17"/>
  <c r="O81" i="17"/>
  <c r="Z80" i="17"/>
  <c r="Y80" i="17"/>
  <c r="X80" i="17"/>
  <c r="AC80" i="17" s="1"/>
  <c r="W80" i="17"/>
  <c r="AB80" i="17" s="1"/>
  <c r="V80" i="17"/>
  <c r="AA80" i="17" s="1"/>
  <c r="U80" i="17"/>
  <c r="T80" i="17"/>
  <c r="S80" i="17"/>
  <c r="R80" i="17"/>
  <c r="Q80" i="17"/>
  <c r="P80" i="17"/>
  <c r="O80" i="17"/>
  <c r="AC79" i="17"/>
  <c r="Y79" i="17"/>
  <c r="X79" i="17"/>
  <c r="W79" i="17"/>
  <c r="AB79" i="17" s="1"/>
  <c r="V79" i="17"/>
  <c r="AA79" i="17" s="1"/>
  <c r="U79" i="17"/>
  <c r="Z79" i="17" s="1"/>
  <c r="T79" i="17"/>
  <c r="S79" i="17"/>
  <c r="R79" i="17"/>
  <c r="Q79" i="17"/>
  <c r="P79" i="17"/>
  <c r="O79" i="17"/>
  <c r="AB78" i="17"/>
  <c r="Y78" i="17"/>
  <c r="X78" i="17"/>
  <c r="AC78" i="17" s="1"/>
  <c r="W78" i="17"/>
  <c r="V78" i="17"/>
  <c r="AA78" i="17" s="1"/>
  <c r="U78" i="17"/>
  <c r="Z78" i="17" s="1"/>
  <c r="T78" i="17"/>
  <c r="S78" i="17"/>
  <c r="R78" i="17"/>
  <c r="Q78" i="17"/>
  <c r="P78" i="17"/>
  <c r="O78" i="17"/>
  <c r="AA77" i="17"/>
  <c r="Y77" i="17"/>
  <c r="X77" i="17"/>
  <c r="AC77" i="17" s="1"/>
  <c r="W77" i="17"/>
  <c r="AB77" i="17" s="1"/>
  <c r="V77" i="17"/>
  <c r="U77" i="17"/>
  <c r="Z77" i="17" s="1"/>
  <c r="T77" i="17"/>
  <c r="S77" i="17"/>
  <c r="R77" i="17"/>
  <c r="Q77" i="17"/>
  <c r="P77" i="17"/>
  <c r="O77" i="17"/>
  <c r="Y76" i="17"/>
  <c r="X76" i="17"/>
  <c r="AC76" i="17" s="1"/>
  <c r="W76" i="17"/>
  <c r="AB76" i="17" s="1"/>
  <c r="V76" i="17"/>
  <c r="AA76" i="17" s="1"/>
  <c r="U76" i="17"/>
  <c r="Z76" i="17" s="1"/>
  <c r="T76" i="17"/>
  <c r="S76" i="17"/>
  <c r="R76" i="17"/>
  <c r="Q76" i="17"/>
  <c r="P76" i="17"/>
  <c r="O76" i="17"/>
  <c r="AB75" i="17"/>
  <c r="Z75" i="17"/>
  <c r="Y75" i="17"/>
  <c r="X75" i="17"/>
  <c r="AC75" i="17" s="1"/>
  <c r="W75" i="17"/>
  <c r="V75" i="17"/>
  <c r="AA75" i="17" s="1"/>
  <c r="U75" i="17"/>
  <c r="T75" i="17"/>
  <c r="S75" i="17"/>
  <c r="R75" i="17"/>
  <c r="Q75" i="17"/>
  <c r="P75" i="17"/>
  <c r="O75" i="17"/>
  <c r="AC74" i="17"/>
  <c r="AA74" i="17"/>
  <c r="Y74" i="17"/>
  <c r="X74" i="17"/>
  <c r="W74" i="17"/>
  <c r="AB74" i="17" s="1"/>
  <c r="V74" i="17"/>
  <c r="U74" i="17"/>
  <c r="Z74" i="17" s="1"/>
  <c r="T74" i="17"/>
  <c r="S74" i="17"/>
  <c r="R74" i="17"/>
  <c r="Q74" i="17"/>
  <c r="P74" i="17"/>
  <c r="O74" i="17"/>
  <c r="AB73" i="17"/>
  <c r="Z73" i="17"/>
  <c r="Y73" i="17"/>
  <c r="X73" i="17"/>
  <c r="AC73" i="17" s="1"/>
  <c r="W73" i="17"/>
  <c r="V73" i="17"/>
  <c r="AA73" i="17" s="1"/>
  <c r="U73" i="17"/>
  <c r="T73" i="17"/>
  <c r="S73" i="17"/>
  <c r="R73" i="17"/>
  <c r="Q73" i="17"/>
  <c r="P73" i="17"/>
  <c r="O73" i="17"/>
  <c r="AC72" i="17"/>
  <c r="AA72" i="17"/>
  <c r="Y72" i="17"/>
  <c r="X72" i="17"/>
  <c r="W72" i="17"/>
  <c r="AB72" i="17" s="1"/>
  <c r="V72" i="17"/>
  <c r="U72" i="17"/>
  <c r="Z72" i="17" s="1"/>
  <c r="T72" i="17"/>
  <c r="S72" i="17"/>
  <c r="R72" i="17"/>
  <c r="Q72" i="17"/>
  <c r="P72" i="17"/>
  <c r="O72" i="17"/>
  <c r="AB71" i="17"/>
  <c r="Z71" i="17"/>
  <c r="Y71" i="17"/>
  <c r="X71" i="17"/>
  <c r="AC71" i="17" s="1"/>
  <c r="W71" i="17"/>
  <c r="V71" i="17"/>
  <c r="AA71" i="17" s="1"/>
  <c r="U71" i="17"/>
  <c r="T71" i="17"/>
  <c r="S71" i="17"/>
  <c r="R71" i="17"/>
  <c r="Q71" i="17"/>
  <c r="P71" i="17"/>
  <c r="O71" i="17"/>
  <c r="AC70" i="17"/>
  <c r="AA70" i="17"/>
  <c r="Y70" i="17"/>
  <c r="X70" i="17"/>
  <c r="W70" i="17"/>
  <c r="AB70" i="17" s="1"/>
  <c r="V70" i="17"/>
  <c r="U70" i="17"/>
  <c r="Z70" i="17" s="1"/>
  <c r="T70" i="17"/>
  <c r="S70" i="17"/>
  <c r="R70" i="17"/>
  <c r="Q70" i="17"/>
  <c r="P70" i="17"/>
  <c r="O70" i="17"/>
  <c r="AB69" i="17"/>
  <c r="Z69" i="17"/>
  <c r="Y69" i="17"/>
  <c r="X69" i="17"/>
  <c r="AC69" i="17" s="1"/>
  <c r="W69" i="17"/>
  <c r="V69" i="17"/>
  <c r="AA69" i="17" s="1"/>
  <c r="U69" i="17"/>
  <c r="T69" i="17"/>
  <c r="S69" i="17"/>
  <c r="R69" i="17"/>
  <c r="Q69" i="17"/>
  <c r="P69" i="17"/>
  <c r="O69" i="17"/>
  <c r="AC68" i="17"/>
  <c r="AA68" i="17"/>
  <c r="Y68" i="17"/>
  <c r="X68" i="17"/>
  <c r="W68" i="17"/>
  <c r="AB68" i="17" s="1"/>
  <c r="V68" i="17"/>
  <c r="U68" i="17"/>
  <c r="Z68" i="17" s="1"/>
  <c r="T68" i="17"/>
  <c r="S68" i="17"/>
  <c r="R68" i="17"/>
  <c r="Q68" i="17"/>
  <c r="P68" i="17"/>
  <c r="O68" i="17"/>
  <c r="AB67" i="17"/>
  <c r="Z67" i="17"/>
  <c r="Y67" i="17"/>
  <c r="X67" i="17"/>
  <c r="AC67" i="17" s="1"/>
  <c r="W67" i="17"/>
  <c r="V67" i="17"/>
  <c r="AA67" i="17" s="1"/>
  <c r="U67" i="17"/>
  <c r="T67" i="17"/>
  <c r="S67" i="17"/>
  <c r="R67" i="17"/>
  <c r="Q67" i="17"/>
  <c r="P67" i="17"/>
  <c r="O67" i="17"/>
  <c r="AC66" i="17"/>
  <c r="AA66" i="17"/>
  <c r="Y66" i="17"/>
  <c r="X66" i="17"/>
  <c r="W66" i="17"/>
  <c r="AB66" i="17" s="1"/>
  <c r="V66" i="17"/>
  <c r="U66" i="17"/>
  <c r="Z66" i="17" s="1"/>
  <c r="T66" i="17"/>
  <c r="S66" i="17"/>
  <c r="R66" i="17"/>
  <c r="Q66" i="17"/>
  <c r="P66" i="17"/>
  <c r="O66" i="17"/>
  <c r="AB65" i="17"/>
  <c r="Z65" i="17"/>
  <c r="Y65" i="17"/>
  <c r="X65" i="17"/>
  <c r="AC65" i="17" s="1"/>
  <c r="W65" i="17"/>
  <c r="V65" i="17"/>
  <c r="AA65" i="17" s="1"/>
  <c r="U65" i="17"/>
  <c r="T65" i="17"/>
  <c r="S65" i="17"/>
  <c r="R65" i="17"/>
  <c r="Q65" i="17"/>
  <c r="P65" i="17"/>
  <c r="O65" i="17"/>
  <c r="AC64" i="17"/>
  <c r="AA64" i="17"/>
  <c r="Y64" i="17"/>
  <c r="X64" i="17"/>
  <c r="W64" i="17"/>
  <c r="AB64" i="17" s="1"/>
  <c r="V64" i="17"/>
  <c r="U64" i="17"/>
  <c r="Z64" i="17" s="1"/>
  <c r="T64" i="17"/>
  <c r="S64" i="17"/>
  <c r="R64" i="17"/>
  <c r="Q64" i="17"/>
  <c r="P64" i="17"/>
  <c r="O64" i="17"/>
  <c r="AB63" i="17"/>
  <c r="Z63" i="17"/>
  <c r="Y63" i="17"/>
  <c r="X63" i="17"/>
  <c r="AC63" i="17" s="1"/>
  <c r="W63" i="17"/>
  <c r="V63" i="17"/>
  <c r="AA63" i="17" s="1"/>
  <c r="U63" i="17"/>
  <c r="T63" i="17"/>
  <c r="S63" i="17"/>
  <c r="R63" i="17"/>
  <c r="Q63" i="17"/>
  <c r="P63" i="17"/>
  <c r="O63" i="17"/>
  <c r="AC62" i="17"/>
  <c r="AA62" i="17"/>
  <c r="Y62" i="17"/>
  <c r="X62" i="17"/>
  <c r="W62" i="17"/>
  <c r="AB62" i="17" s="1"/>
  <c r="V62" i="17"/>
  <c r="U62" i="17"/>
  <c r="Z62" i="17" s="1"/>
  <c r="T62" i="17"/>
  <c r="S62" i="17"/>
  <c r="R62" i="17"/>
  <c r="Q62" i="17"/>
  <c r="P62" i="17"/>
  <c r="O62" i="17"/>
  <c r="AB61" i="17"/>
  <c r="Z61" i="17"/>
  <c r="Y61" i="17"/>
  <c r="X61" i="17"/>
  <c r="AC61" i="17" s="1"/>
  <c r="W61" i="17"/>
  <c r="V61" i="17"/>
  <c r="AA61" i="17" s="1"/>
  <c r="U61" i="17"/>
  <c r="T61" i="17"/>
  <c r="S61" i="17"/>
  <c r="R61" i="17"/>
  <c r="Q61" i="17"/>
  <c r="P61" i="17"/>
  <c r="O61" i="17"/>
  <c r="AC60" i="17"/>
  <c r="AA60" i="17"/>
  <c r="Y60" i="17"/>
  <c r="X60" i="17"/>
  <c r="W60" i="17"/>
  <c r="AB60" i="17" s="1"/>
  <c r="V60" i="17"/>
  <c r="U60" i="17"/>
  <c r="Z60" i="17" s="1"/>
  <c r="T60" i="17"/>
  <c r="S60" i="17"/>
  <c r="R60" i="17"/>
  <c r="Q60" i="17"/>
  <c r="P60" i="17"/>
  <c r="O60" i="17"/>
  <c r="AB59" i="17"/>
  <c r="Z59" i="17"/>
  <c r="Y59" i="17"/>
  <c r="X59" i="17"/>
  <c r="AC59" i="17" s="1"/>
  <c r="W59" i="17"/>
  <c r="V59" i="17"/>
  <c r="AA59" i="17" s="1"/>
  <c r="U59" i="17"/>
  <c r="T59" i="17"/>
  <c r="S59" i="17"/>
  <c r="R59" i="17"/>
  <c r="Q59" i="17"/>
  <c r="P59" i="17"/>
  <c r="O59" i="17"/>
  <c r="AC58" i="17"/>
  <c r="AA58" i="17"/>
  <c r="Y58" i="17"/>
  <c r="X58" i="17"/>
  <c r="W58" i="17"/>
  <c r="AB58" i="17" s="1"/>
  <c r="V58" i="17"/>
  <c r="U58" i="17"/>
  <c r="Z58" i="17" s="1"/>
  <c r="T58" i="17"/>
  <c r="S58" i="17"/>
  <c r="R58" i="17"/>
  <c r="Q58" i="17"/>
  <c r="P58" i="17"/>
  <c r="O58" i="17"/>
  <c r="AB57" i="17"/>
  <c r="Z57" i="17"/>
  <c r="Y57" i="17"/>
  <c r="X57" i="17"/>
  <c r="AC57" i="17" s="1"/>
  <c r="W57" i="17"/>
  <c r="V57" i="17"/>
  <c r="AA57" i="17" s="1"/>
  <c r="U57" i="17"/>
  <c r="T57" i="17"/>
  <c r="S57" i="17"/>
  <c r="R57" i="17"/>
  <c r="Q57" i="17"/>
  <c r="P57" i="17"/>
  <c r="O57" i="17"/>
  <c r="AC56" i="17"/>
  <c r="AA56" i="17"/>
  <c r="Y56" i="17"/>
  <c r="X56" i="17"/>
  <c r="W56" i="17"/>
  <c r="AB56" i="17" s="1"/>
  <c r="V56" i="17"/>
  <c r="U56" i="17"/>
  <c r="Z56" i="17" s="1"/>
  <c r="T56" i="17"/>
  <c r="S56" i="17"/>
  <c r="R56" i="17"/>
  <c r="Q56" i="17"/>
  <c r="P56" i="17"/>
  <c r="O56" i="17"/>
  <c r="AB55" i="17"/>
  <c r="Z55" i="17"/>
  <c r="Y55" i="17"/>
  <c r="X55" i="17"/>
  <c r="AC55" i="17" s="1"/>
  <c r="W55" i="17"/>
  <c r="V55" i="17"/>
  <c r="AA55" i="17" s="1"/>
  <c r="U55" i="17"/>
  <c r="T55" i="17"/>
  <c r="S55" i="17"/>
  <c r="R55" i="17"/>
  <c r="Q55" i="17"/>
  <c r="P55" i="17"/>
  <c r="O55" i="17"/>
  <c r="AC54" i="17"/>
  <c r="AA54" i="17"/>
  <c r="Y54" i="17"/>
  <c r="X54" i="17"/>
  <c r="W54" i="17"/>
  <c r="AB54" i="17" s="1"/>
  <c r="V54" i="17"/>
  <c r="U54" i="17"/>
  <c r="Z54" i="17" s="1"/>
  <c r="T54" i="17"/>
  <c r="S54" i="17"/>
  <c r="R54" i="17"/>
  <c r="Q54" i="17"/>
  <c r="P54" i="17"/>
  <c r="O54" i="17"/>
  <c r="AB53" i="17"/>
  <c r="Z53" i="17"/>
  <c r="Y53" i="17"/>
  <c r="X53" i="17"/>
  <c r="AC53" i="17" s="1"/>
  <c r="W53" i="17"/>
  <c r="V53" i="17"/>
  <c r="AA53" i="17" s="1"/>
  <c r="U53" i="17"/>
  <c r="T53" i="17"/>
  <c r="S53" i="17"/>
  <c r="R53" i="17"/>
  <c r="Q53" i="17"/>
  <c r="P53" i="17"/>
  <c r="O53" i="17"/>
  <c r="AC52" i="17"/>
  <c r="AA52" i="17"/>
  <c r="Y52" i="17"/>
  <c r="X52" i="17"/>
  <c r="W52" i="17"/>
  <c r="AB52" i="17" s="1"/>
  <c r="V52" i="17"/>
  <c r="U52" i="17"/>
  <c r="Z52" i="17" s="1"/>
  <c r="T52" i="17"/>
  <c r="S52" i="17"/>
  <c r="R52" i="17"/>
  <c r="Q52" i="17"/>
  <c r="P52" i="17"/>
  <c r="O52" i="17"/>
  <c r="AB51" i="17"/>
  <c r="Z51" i="17"/>
  <c r="Y51" i="17"/>
  <c r="X51" i="17"/>
  <c r="AC51" i="17" s="1"/>
  <c r="W51" i="17"/>
  <c r="V51" i="17"/>
  <c r="AA51" i="17" s="1"/>
  <c r="U51" i="17"/>
  <c r="T51" i="17"/>
  <c r="S51" i="17"/>
  <c r="R51" i="17"/>
  <c r="Q51" i="17"/>
  <c r="P51" i="17"/>
  <c r="O51" i="17"/>
  <c r="AC50" i="17"/>
  <c r="AA50" i="17"/>
  <c r="Y50" i="17"/>
  <c r="X50" i="17"/>
  <c r="W50" i="17"/>
  <c r="AB50" i="17" s="1"/>
  <c r="V50" i="17"/>
  <c r="U50" i="17"/>
  <c r="Z50" i="17" s="1"/>
  <c r="T50" i="17"/>
  <c r="S50" i="17"/>
  <c r="R50" i="17"/>
  <c r="Q50" i="17"/>
  <c r="P50" i="17"/>
  <c r="O50" i="17"/>
  <c r="AB49" i="17"/>
  <c r="Z49" i="17"/>
  <c r="Y49" i="17"/>
  <c r="X49" i="17"/>
  <c r="AC49" i="17" s="1"/>
  <c r="W49" i="17"/>
  <c r="V49" i="17"/>
  <c r="AA49" i="17" s="1"/>
  <c r="U49" i="17"/>
  <c r="T49" i="17"/>
  <c r="S49" i="17"/>
  <c r="R49" i="17"/>
  <c r="Q49" i="17"/>
  <c r="P49" i="17"/>
  <c r="O49" i="17"/>
  <c r="AC48" i="17"/>
  <c r="AA48" i="17"/>
  <c r="Y48" i="17"/>
  <c r="X48" i="17"/>
  <c r="W48" i="17"/>
  <c r="AB48" i="17" s="1"/>
  <c r="V48" i="17"/>
  <c r="U48" i="17"/>
  <c r="Z48" i="17" s="1"/>
  <c r="T48" i="17"/>
  <c r="S48" i="17"/>
  <c r="R48" i="17"/>
  <c r="Q48" i="17"/>
  <c r="P48" i="17"/>
  <c r="O48" i="17"/>
  <c r="AB47" i="17"/>
  <c r="Z47" i="17"/>
  <c r="Y47" i="17"/>
  <c r="X47" i="17"/>
  <c r="AC47" i="17" s="1"/>
  <c r="W47" i="17"/>
  <c r="V47" i="17"/>
  <c r="AA47" i="17" s="1"/>
  <c r="U47" i="17"/>
  <c r="T47" i="17"/>
  <c r="S47" i="17"/>
  <c r="R47" i="17"/>
  <c r="Q47" i="17"/>
  <c r="P47" i="17"/>
  <c r="O47" i="17"/>
  <c r="AC46" i="17"/>
  <c r="AA46" i="17"/>
  <c r="Y46" i="17"/>
  <c r="X46" i="17"/>
  <c r="W46" i="17"/>
  <c r="AB46" i="17" s="1"/>
  <c r="V46" i="17"/>
  <c r="U46" i="17"/>
  <c r="Z46" i="17" s="1"/>
  <c r="T46" i="17"/>
  <c r="S46" i="17"/>
  <c r="R46" i="17"/>
  <c r="Q46" i="17"/>
  <c r="P46" i="17"/>
  <c r="O46" i="17"/>
  <c r="AB45" i="17"/>
  <c r="Z45" i="17"/>
  <c r="Y45" i="17"/>
  <c r="X45" i="17"/>
  <c r="AC45" i="17" s="1"/>
  <c r="W45" i="17"/>
  <c r="V45" i="17"/>
  <c r="AA45" i="17" s="1"/>
  <c r="U45" i="17"/>
  <c r="T45" i="17"/>
  <c r="S45" i="17"/>
  <c r="R45" i="17"/>
  <c r="Q45" i="17"/>
  <c r="P45" i="17"/>
  <c r="O45" i="17"/>
  <c r="AC44" i="17"/>
  <c r="AA44" i="17"/>
  <c r="Y44" i="17"/>
  <c r="X44" i="17"/>
  <c r="W44" i="17"/>
  <c r="AB44" i="17" s="1"/>
  <c r="V44" i="17"/>
  <c r="U44" i="17"/>
  <c r="Z44" i="17" s="1"/>
  <c r="T44" i="17"/>
  <c r="S44" i="17"/>
  <c r="R44" i="17"/>
  <c r="Q44" i="17"/>
  <c r="P44" i="17"/>
  <c r="O44" i="17"/>
  <c r="AB43" i="17"/>
  <c r="Z43" i="17"/>
  <c r="Y43" i="17"/>
  <c r="X43" i="17"/>
  <c r="AC43" i="17" s="1"/>
  <c r="W43" i="17"/>
  <c r="V43" i="17"/>
  <c r="AA43" i="17" s="1"/>
  <c r="U43" i="17"/>
  <c r="T43" i="17"/>
  <c r="S43" i="17"/>
  <c r="R43" i="17"/>
  <c r="Q43" i="17"/>
  <c r="P43" i="17"/>
  <c r="O43" i="17"/>
  <c r="AC42" i="17"/>
  <c r="AA42" i="17"/>
  <c r="Y42" i="17"/>
  <c r="X42" i="17"/>
  <c r="W42" i="17"/>
  <c r="AB42" i="17" s="1"/>
  <c r="V42" i="17"/>
  <c r="U42" i="17"/>
  <c r="Z42" i="17" s="1"/>
  <c r="T42" i="17"/>
  <c r="S42" i="17"/>
  <c r="R42" i="17"/>
  <c r="Q42" i="17"/>
  <c r="P42" i="17"/>
  <c r="O42" i="17"/>
  <c r="AB41" i="17"/>
  <c r="Z41" i="17"/>
  <c r="Y41" i="17"/>
  <c r="X41" i="17"/>
  <c r="AC41" i="17" s="1"/>
  <c r="W41" i="17"/>
  <c r="V41" i="17"/>
  <c r="AA41" i="17" s="1"/>
  <c r="U41" i="17"/>
  <c r="T41" i="17"/>
  <c r="S41" i="17"/>
  <c r="R41" i="17"/>
  <c r="Q41" i="17"/>
  <c r="P41" i="17"/>
  <c r="O41" i="17"/>
  <c r="AC40" i="17"/>
  <c r="AA40" i="17"/>
  <c r="Y40" i="17"/>
  <c r="X40" i="17"/>
  <c r="W40" i="17"/>
  <c r="AB40" i="17" s="1"/>
  <c r="V40" i="17"/>
  <c r="U40" i="17"/>
  <c r="Z40" i="17" s="1"/>
  <c r="T40" i="17"/>
  <c r="S40" i="17"/>
  <c r="R40" i="17"/>
  <c r="Q40" i="17"/>
  <c r="P40" i="17"/>
  <c r="O40" i="17"/>
  <c r="AB39" i="17"/>
  <c r="Z39" i="17"/>
  <c r="Y39" i="17"/>
  <c r="X39" i="17"/>
  <c r="AC39" i="17" s="1"/>
  <c r="W39" i="17"/>
  <c r="V39" i="17"/>
  <c r="AA39" i="17" s="1"/>
  <c r="U39" i="17"/>
  <c r="T39" i="17"/>
  <c r="S39" i="17"/>
  <c r="R39" i="17"/>
  <c r="Q39" i="17"/>
  <c r="P39" i="17"/>
  <c r="O39" i="17"/>
  <c r="AC38" i="17"/>
  <c r="AA38" i="17"/>
  <c r="Y38" i="17"/>
  <c r="X38" i="17"/>
  <c r="W38" i="17"/>
  <c r="AB38" i="17" s="1"/>
  <c r="V38" i="17"/>
  <c r="U38" i="17"/>
  <c r="Z38" i="17" s="1"/>
  <c r="T38" i="17"/>
  <c r="S38" i="17"/>
  <c r="R38" i="17"/>
  <c r="Q38" i="17"/>
  <c r="P38" i="17"/>
  <c r="O38" i="17"/>
  <c r="AB37" i="17"/>
  <c r="Z37" i="17"/>
  <c r="Y37" i="17"/>
  <c r="X37" i="17"/>
  <c r="AC37" i="17" s="1"/>
  <c r="W37" i="17"/>
  <c r="V37" i="17"/>
  <c r="AA37" i="17" s="1"/>
  <c r="U37" i="17"/>
  <c r="T37" i="17"/>
  <c r="S37" i="17"/>
  <c r="R37" i="17"/>
  <c r="Q37" i="17"/>
  <c r="P37" i="17"/>
  <c r="O37" i="17"/>
  <c r="AC36" i="17"/>
  <c r="AA36" i="17"/>
  <c r="Y36" i="17"/>
  <c r="X36" i="17"/>
  <c r="W36" i="17"/>
  <c r="AB36" i="17" s="1"/>
  <c r="V36" i="17"/>
  <c r="U36" i="17"/>
  <c r="Z36" i="17" s="1"/>
  <c r="T36" i="17"/>
  <c r="S36" i="17"/>
  <c r="R36" i="17"/>
  <c r="Q36" i="17"/>
  <c r="P36" i="17"/>
  <c r="O36" i="17"/>
  <c r="AB35" i="17"/>
  <c r="Z35" i="17"/>
  <c r="Y35" i="17"/>
  <c r="X35" i="17"/>
  <c r="AC35" i="17" s="1"/>
  <c r="W35" i="17"/>
  <c r="V35" i="17"/>
  <c r="AA35" i="17" s="1"/>
  <c r="U35" i="17"/>
  <c r="T35" i="17"/>
  <c r="S35" i="17"/>
  <c r="R35" i="17"/>
  <c r="Q35" i="17"/>
  <c r="P35" i="17"/>
  <c r="O35" i="17"/>
  <c r="AC34" i="17"/>
  <c r="AA34" i="17"/>
  <c r="Y34" i="17"/>
  <c r="X34" i="17"/>
  <c r="W34" i="17"/>
  <c r="AB34" i="17" s="1"/>
  <c r="V34" i="17"/>
  <c r="U34" i="17"/>
  <c r="Z34" i="17" s="1"/>
  <c r="T34" i="17"/>
  <c r="S34" i="17"/>
  <c r="R34" i="17"/>
  <c r="Q34" i="17"/>
  <c r="P34" i="17"/>
  <c r="O34" i="17"/>
  <c r="AB33" i="17"/>
  <c r="Z33" i="17"/>
  <c r="Y33" i="17"/>
  <c r="X33" i="17"/>
  <c r="AC33" i="17" s="1"/>
  <c r="W33" i="17"/>
  <c r="V33" i="17"/>
  <c r="AA33" i="17" s="1"/>
  <c r="U33" i="17"/>
  <c r="T33" i="17"/>
  <c r="S33" i="17"/>
  <c r="R33" i="17"/>
  <c r="Q33" i="17"/>
  <c r="P33" i="17"/>
  <c r="O33" i="17"/>
  <c r="AC32" i="17"/>
  <c r="AA32" i="17"/>
  <c r="Y32" i="17"/>
  <c r="X32" i="17"/>
  <c r="W32" i="17"/>
  <c r="AB32" i="17" s="1"/>
  <c r="V32" i="17"/>
  <c r="U32" i="17"/>
  <c r="Z32" i="17" s="1"/>
  <c r="T32" i="17"/>
  <c r="S32" i="17"/>
  <c r="R32" i="17"/>
  <c r="Q32" i="17"/>
  <c r="P32" i="17"/>
  <c r="O32" i="17"/>
  <c r="AB31" i="17"/>
  <c r="Z31" i="17"/>
  <c r="Y31" i="17"/>
  <c r="X31" i="17"/>
  <c r="AC31" i="17" s="1"/>
  <c r="W31" i="17"/>
  <c r="V31" i="17"/>
  <c r="AA31" i="17" s="1"/>
  <c r="U31" i="17"/>
  <c r="T31" i="17"/>
  <c r="S31" i="17"/>
  <c r="R31" i="17"/>
  <c r="Q31" i="17"/>
  <c r="P31" i="17"/>
  <c r="O31" i="17"/>
  <c r="AC30" i="17"/>
  <c r="AA30" i="17"/>
  <c r="Y30" i="17"/>
  <c r="X30" i="17"/>
  <c r="W30" i="17"/>
  <c r="AB30" i="17" s="1"/>
  <c r="V30" i="17"/>
  <c r="U30" i="17"/>
  <c r="Z30" i="17" s="1"/>
  <c r="T30" i="17"/>
  <c r="S30" i="17"/>
  <c r="R30" i="17"/>
  <c r="Q30" i="17"/>
  <c r="P30" i="17"/>
  <c r="O30" i="17"/>
  <c r="AB29" i="17"/>
  <c r="Z29" i="17"/>
  <c r="Y29" i="17"/>
  <c r="X29" i="17"/>
  <c r="AC29" i="17" s="1"/>
  <c r="W29" i="17"/>
  <c r="V29" i="17"/>
  <c r="AA29" i="17" s="1"/>
  <c r="U29" i="17"/>
  <c r="T29" i="17"/>
  <c r="S29" i="17"/>
  <c r="R29" i="17"/>
  <c r="Q29" i="17"/>
  <c r="P29" i="17"/>
  <c r="O29" i="17"/>
  <c r="AC28" i="17"/>
  <c r="AA28" i="17"/>
  <c r="Y28" i="17"/>
  <c r="X28" i="17"/>
  <c r="W28" i="17"/>
  <c r="AB28" i="17" s="1"/>
  <c r="V28" i="17"/>
  <c r="U28" i="17"/>
  <c r="Z28" i="17" s="1"/>
  <c r="T28" i="17"/>
  <c r="S28" i="17"/>
  <c r="R28" i="17"/>
  <c r="Q28" i="17"/>
  <c r="P28" i="17"/>
  <c r="O28" i="17"/>
  <c r="AB27" i="17"/>
  <c r="Z27" i="17"/>
  <c r="Y27" i="17"/>
  <c r="X27" i="17"/>
  <c r="AC27" i="17" s="1"/>
  <c r="W27" i="17"/>
  <c r="V27" i="17"/>
  <c r="AA27" i="17" s="1"/>
  <c r="U27" i="17"/>
  <c r="T27" i="17"/>
  <c r="S27" i="17"/>
  <c r="R27" i="17"/>
  <c r="Q27" i="17"/>
  <c r="P27" i="17"/>
  <c r="O27" i="17"/>
  <c r="AC26" i="17"/>
  <c r="AA26" i="17"/>
  <c r="Y26" i="17"/>
  <c r="X26" i="17"/>
  <c r="W26" i="17"/>
  <c r="AB26" i="17" s="1"/>
  <c r="V26" i="17"/>
  <c r="U26" i="17"/>
  <c r="Z26" i="17" s="1"/>
  <c r="T26" i="17"/>
  <c r="S26" i="17"/>
  <c r="R26" i="17"/>
  <c r="Q26" i="17"/>
  <c r="P26" i="17"/>
  <c r="O26" i="17"/>
  <c r="AB25" i="17"/>
  <c r="Z25" i="17"/>
  <c r="Y25" i="17"/>
  <c r="X25" i="17"/>
  <c r="AC25" i="17" s="1"/>
  <c r="W25" i="17"/>
  <c r="V25" i="17"/>
  <c r="AA25" i="17" s="1"/>
  <c r="U25" i="17"/>
  <c r="T25" i="17"/>
  <c r="S25" i="17"/>
  <c r="R25" i="17"/>
  <c r="Q25" i="17"/>
  <c r="P25" i="17"/>
  <c r="O25" i="17"/>
  <c r="AC24" i="17"/>
  <c r="AA24" i="17"/>
  <c r="Y24" i="17"/>
  <c r="X24" i="17"/>
  <c r="W24" i="17"/>
  <c r="AB24" i="17" s="1"/>
  <c r="V24" i="17"/>
  <c r="U24" i="17"/>
  <c r="Z24" i="17" s="1"/>
  <c r="T24" i="17"/>
  <c r="S24" i="17"/>
  <c r="R24" i="17"/>
  <c r="Q24" i="17"/>
  <c r="P24" i="17"/>
  <c r="O24" i="17"/>
  <c r="AB23" i="17"/>
  <c r="Z23" i="17"/>
  <c r="Y23" i="17"/>
  <c r="X23" i="17"/>
  <c r="AC23" i="17" s="1"/>
  <c r="W23" i="17"/>
  <c r="V23" i="17"/>
  <c r="AA23" i="17" s="1"/>
  <c r="U23" i="17"/>
  <c r="T23" i="17"/>
  <c r="S23" i="17"/>
  <c r="R23" i="17"/>
  <c r="Q23" i="17"/>
  <c r="P23" i="17"/>
  <c r="O23" i="17"/>
  <c r="AA22" i="17"/>
  <c r="Y22" i="17"/>
  <c r="X22" i="17"/>
  <c r="AC22" i="17" s="1"/>
  <c r="W22" i="17"/>
  <c r="AB22" i="17" s="1"/>
  <c r="V22" i="17"/>
  <c r="U22" i="17"/>
  <c r="Z22" i="17" s="1"/>
  <c r="T22" i="17"/>
  <c r="S22" i="17"/>
  <c r="R22" i="17"/>
  <c r="Q22" i="17"/>
  <c r="P22" i="17"/>
  <c r="O22" i="17"/>
  <c r="Z21" i="17"/>
  <c r="Y21" i="17"/>
  <c r="X21" i="17"/>
  <c r="AC21" i="17" s="1"/>
  <c r="W21" i="17"/>
  <c r="AB21" i="17" s="1"/>
  <c r="V21" i="17"/>
  <c r="AA21" i="17" s="1"/>
  <c r="U21" i="17"/>
  <c r="T21" i="17"/>
  <c r="S21" i="17"/>
  <c r="R21" i="17"/>
  <c r="Q21" i="17"/>
  <c r="P21" i="17"/>
  <c r="O21" i="17"/>
  <c r="AC20" i="17"/>
  <c r="Y20" i="17"/>
  <c r="X20" i="17"/>
  <c r="W20" i="17"/>
  <c r="AB20" i="17" s="1"/>
  <c r="V20" i="17"/>
  <c r="AA20" i="17" s="1"/>
  <c r="U20" i="17"/>
  <c r="Z20" i="17" s="1"/>
  <c r="T20" i="17"/>
  <c r="S20" i="17"/>
  <c r="R20" i="17"/>
  <c r="Q20" i="17"/>
  <c r="P20" i="17"/>
  <c r="O20" i="17"/>
  <c r="AB19" i="17"/>
  <c r="Y19" i="17"/>
  <c r="X19" i="17"/>
  <c r="AC19" i="17" s="1"/>
  <c r="W19" i="17"/>
  <c r="V19" i="17"/>
  <c r="AA19" i="17" s="1"/>
  <c r="U19" i="17"/>
  <c r="Z19" i="17" s="1"/>
  <c r="T19" i="17"/>
  <c r="S19" i="17"/>
  <c r="R19" i="17"/>
  <c r="Q19" i="17"/>
  <c r="P19" i="17"/>
  <c r="O19" i="17"/>
  <c r="AA18" i="17"/>
  <c r="Y18" i="17"/>
  <c r="X18" i="17"/>
  <c r="AC18" i="17" s="1"/>
  <c r="W18" i="17"/>
  <c r="AB18" i="17" s="1"/>
  <c r="V18" i="17"/>
  <c r="U18" i="17"/>
  <c r="Z18" i="17" s="1"/>
  <c r="T18" i="17"/>
  <c r="S18" i="17"/>
  <c r="R18" i="17"/>
  <c r="Q18" i="17"/>
  <c r="P18" i="17"/>
  <c r="O18" i="17"/>
  <c r="Z17" i="17"/>
  <c r="Y17" i="17"/>
  <c r="X17" i="17"/>
  <c r="AC17" i="17" s="1"/>
  <c r="W17" i="17"/>
  <c r="AB17" i="17" s="1"/>
  <c r="V17" i="17"/>
  <c r="AA17" i="17" s="1"/>
  <c r="U17" i="17"/>
  <c r="T17" i="17"/>
  <c r="S17" i="17"/>
  <c r="R17" i="17"/>
  <c r="Q17" i="17"/>
  <c r="P17" i="17"/>
  <c r="O17" i="17"/>
  <c r="AC16" i="17"/>
  <c r="Y16" i="17"/>
  <c r="X16" i="17"/>
  <c r="W16" i="17"/>
  <c r="AB16" i="17" s="1"/>
  <c r="V16" i="17"/>
  <c r="AA16" i="17" s="1"/>
  <c r="U16" i="17"/>
  <c r="Z16" i="17" s="1"/>
  <c r="T16" i="17"/>
  <c r="S16" i="17"/>
  <c r="R16" i="17"/>
  <c r="Q16" i="17"/>
  <c r="P16" i="17"/>
  <c r="O16" i="17"/>
  <c r="AB15" i="17"/>
  <c r="Y15" i="17"/>
  <c r="X15" i="17"/>
  <c r="AC15" i="17" s="1"/>
  <c r="W15" i="17"/>
  <c r="V15" i="17"/>
  <c r="AA15" i="17" s="1"/>
  <c r="U15" i="17"/>
  <c r="Z15" i="17" s="1"/>
  <c r="T15" i="17"/>
  <c r="S15" i="17"/>
  <c r="R15" i="17"/>
  <c r="Q15" i="17"/>
  <c r="P15" i="17"/>
  <c r="O15" i="17"/>
  <c r="AA14" i="17"/>
  <c r="Y14" i="17"/>
  <c r="X14" i="17"/>
  <c r="AC14" i="17" s="1"/>
  <c r="W14" i="17"/>
  <c r="AB14" i="17" s="1"/>
  <c r="V14" i="17"/>
  <c r="U14" i="17"/>
  <c r="Z14" i="17" s="1"/>
  <c r="T14" i="17"/>
  <c r="S14" i="17"/>
  <c r="R14" i="17"/>
  <c r="Q14" i="17"/>
  <c r="P14" i="17"/>
  <c r="O14" i="17"/>
  <c r="Z13" i="17"/>
  <c r="Y13" i="17"/>
  <c r="X13" i="17"/>
  <c r="AC13" i="17" s="1"/>
  <c r="W13" i="17"/>
  <c r="AB13" i="17" s="1"/>
  <c r="V13" i="17"/>
  <c r="AA13" i="17" s="1"/>
  <c r="U13" i="17"/>
  <c r="T13" i="17"/>
  <c r="S13" i="17"/>
  <c r="R13" i="17"/>
  <c r="Q13" i="17"/>
  <c r="P13" i="17"/>
  <c r="O13" i="17"/>
  <c r="BM23" i="17" l="1"/>
  <c r="BD23" i="17"/>
  <c r="BD32" i="17"/>
  <c r="BM32" i="17"/>
  <c r="BD16" i="17"/>
  <c r="BM16" i="17"/>
  <c r="BD24" i="17"/>
  <c r="BM24" i="17"/>
  <c r="BD35" i="17"/>
  <c r="BM35" i="17"/>
  <c r="BM43" i="17"/>
  <c r="BD43" i="17"/>
  <c r="BD15" i="17"/>
  <c r="BM15" i="17"/>
  <c r="BD31" i="17"/>
  <c r="BM31" i="17"/>
  <c r="BD40" i="17"/>
  <c r="BM40" i="17"/>
  <c r="BM17" i="17"/>
  <c r="BM19" i="17"/>
  <c r="BD19" i="17"/>
  <c r="BM25" i="17"/>
  <c r="BD27" i="17"/>
  <c r="BM27" i="17"/>
  <c r="BD36" i="17"/>
  <c r="BM36" i="17"/>
  <c r="BD44" i="17"/>
  <c r="BM44" i="17"/>
  <c r="BD20" i="17"/>
  <c r="BM20" i="17"/>
  <c r="BD28" i="17"/>
  <c r="BM28" i="17"/>
  <c r="BM37" i="17"/>
  <c r="BM39" i="17"/>
  <c r="BD39" i="17"/>
  <c r="BM81" i="17"/>
  <c r="BD81" i="17"/>
  <c r="BM82" i="17"/>
  <c r="BD82" i="17"/>
  <c r="BM92" i="17"/>
  <c r="BM100" i="17"/>
  <c r="BD100" i="17"/>
  <c r="BD102" i="17"/>
  <c r="BD14" i="17"/>
  <c r="BD18" i="17"/>
  <c r="BD22" i="17"/>
  <c r="BD26" i="17"/>
  <c r="BD30" i="17"/>
  <c r="BD34" i="17"/>
  <c r="BD38" i="17"/>
  <c r="BD42" i="17"/>
  <c r="BM53" i="17"/>
  <c r="BD53" i="17"/>
  <c r="BM56" i="17"/>
  <c r="BM65" i="17"/>
  <c r="BD65" i="17"/>
  <c r="BM73" i="17"/>
  <c r="BD73" i="17"/>
  <c r="BM77" i="17"/>
  <c r="BD77" i="17"/>
  <c r="BM78" i="17"/>
  <c r="BD78" i="17"/>
  <c r="BM83" i="17"/>
  <c r="BD83" i="17"/>
  <c r="BM88" i="17"/>
  <c r="BD115" i="17"/>
  <c r="BM115" i="17"/>
  <c r="BM45" i="17"/>
  <c r="BM76" i="17"/>
  <c r="BD87" i="17"/>
  <c r="BD13" i="17"/>
  <c r="BD17" i="17"/>
  <c r="BD21" i="17"/>
  <c r="BD25" i="17"/>
  <c r="BD29" i="17"/>
  <c r="BD33" i="17"/>
  <c r="BD37" i="17"/>
  <c r="BD41" i="17"/>
  <c r="BM46" i="17"/>
  <c r="BD46" i="17"/>
  <c r="BM48" i="17"/>
  <c r="BD51" i="17"/>
  <c r="BM54" i="17"/>
  <c r="BM57" i="17"/>
  <c r="BD57" i="17"/>
  <c r="BM60" i="17"/>
  <c r="BD63" i="17"/>
  <c r="BM66" i="17"/>
  <c r="BM68" i="17"/>
  <c r="BD71" i="17"/>
  <c r="BM74" i="17"/>
  <c r="BM79" i="17"/>
  <c r="BD79" i="17"/>
  <c r="BM84" i="17"/>
  <c r="BM89" i="17"/>
  <c r="BD89" i="17"/>
  <c r="BM90" i="17"/>
  <c r="BD90" i="17"/>
  <c r="BM93" i="17"/>
  <c r="BD93" i="17"/>
  <c r="BD96" i="17"/>
  <c r="BM96" i="17"/>
  <c r="BM99" i="17"/>
  <c r="BD59" i="17"/>
  <c r="BM49" i="17"/>
  <c r="BD49" i="17"/>
  <c r="BD55" i="17"/>
  <c r="BM58" i="17"/>
  <c r="BM61" i="17"/>
  <c r="BD61" i="17"/>
  <c r="BM69" i="17"/>
  <c r="BD69" i="17"/>
  <c r="BM75" i="17"/>
  <c r="BD75" i="17"/>
  <c r="BM80" i="17"/>
  <c r="BM85" i="17"/>
  <c r="BD85" i="17"/>
  <c r="BM86" i="17"/>
  <c r="BD86" i="17"/>
  <c r="BM91" i="17"/>
  <c r="BD91" i="17"/>
  <c r="BM120" i="17"/>
  <c r="BD120" i="17"/>
  <c r="BM136" i="17"/>
  <c r="BD136" i="17"/>
  <c r="BD50" i="17"/>
  <c r="BD54" i="17"/>
  <c r="BD58" i="17"/>
  <c r="BD62" i="17"/>
  <c r="BD66" i="17"/>
  <c r="BD70" i="17"/>
  <c r="BD74" i="17"/>
  <c r="BD98" i="17"/>
  <c r="BM108" i="17"/>
  <c r="BD108" i="17"/>
  <c r="BM111" i="17"/>
  <c r="BD141" i="17"/>
  <c r="BM141" i="17"/>
  <c r="BM94" i="17"/>
  <c r="BD95" i="17"/>
  <c r="BM103" i="17"/>
  <c r="BD106" i="17"/>
  <c r="BM112" i="17"/>
  <c r="BD112" i="17"/>
  <c r="BM123" i="17"/>
  <c r="BD123" i="17"/>
  <c r="BD133" i="17"/>
  <c r="BM133" i="17"/>
  <c r="BM138" i="17"/>
  <c r="BD138" i="17"/>
  <c r="BM97" i="17"/>
  <c r="BD97" i="17"/>
  <c r="BM101" i="17"/>
  <c r="BM104" i="17"/>
  <c r="BD104" i="17"/>
  <c r="BM109" i="17"/>
  <c r="BM116" i="17"/>
  <c r="BD116" i="17"/>
  <c r="BM119" i="17"/>
  <c r="BM130" i="17"/>
  <c r="BD130" i="17"/>
  <c r="BD144" i="17"/>
  <c r="BO156" i="17"/>
  <c r="BD156" i="17"/>
  <c r="BD101" i="17"/>
  <c r="BD105" i="17"/>
  <c r="BD109" i="17"/>
  <c r="BD113" i="17"/>
  <c r="BD117" i="17"/>
  <c r="BD121" i="17"/>
  <c r="BD128" i="17"/>
  <c r="BM131" i="17"/>
  <c r="BM139" i="17"/>
  <c r="BD145" i="17"/>
  <c r="BM150" i="17"/>
  <c r="BD150" i="17"/>
  <c r="BD153" i="17"/>
  <c r="BM158" i="17"/>
  <c r="BD158" i="17"/>
  <c r="BM126" i="17"/>
  <c r="BM134" i="17"/>
  <c r="BD134" i="17"/>
  <c r="BM142" i="17"/>
  <c r="BD142" i="17"/>
  <c r="BD148" i="17"/>
  <c r="BM124" i="17"/>
  <c r="BM135" i="17"/>
  <c r="BM143" i="17"/>
  <c r="BM146" i="17"/>
  <c r="BD146" i="17"/>
  <c r="BD149" i="17"/>
  <c r="BM154" i="17"/>
  <c r="BD154" i="17"/>
  <c r="BD157" i="17"/>
  <c r="BM160" i="17"/>
  <c r="BD160" i="17"/>
  <c r="BD127" i="17"/>
  <c r="BD131" i="17"/>
  <c r="BD135" i="17"/>
  <c r="BD139" i="17"/>
  <c r="BD143" i="17"/>
  <c r="BD147" i="17"/>
  <c r="BD151" i="17"/>
  <c r="BD155" i="17"/>
  <c r="BD159" i="17"/>
  <c r="AI140" i="17"/>
  <c r="L140" i="17"/>
  <c r="K140" i="17"/>
  <c r="J140" i="17"/>
  <c r="F140" i="17"/>
  <c r="E140" i="17"/>
  <c r="D140" i="17"/>
  <c r="AI139" i="17"/>
  <c r="L139" i="17"/>
  <c r="K139" i="17"/>
  <c r="J139" i="17"/>
  <c r="F139" i="17"/>
  <c r="E139" i="17"/>
  <c r="D139" i="17"/>
  <c r="AI138" i="17"/>
  <c r="L138" i="17"/>
  <c r="K138" i="17"/>
  <c r="J138" i="17"/>
  <c r="F138" i="17"/>
  <c r="E138" i="17"/>
  <c r="D138" i="17"/>
  <c r="AI137" i="17"/>
  <c r="L137" i="17"/>
  <c r="K137" i="17"/>
  <c r="J137" i="17"/>
  <c r="F137" i="17"/>
  <c r="E137" i="17"/>
  <c r="D137" i="17"/>
  <c r="AI136" i="17"/>
  <c r="L136" i="17"/>
  <c r="K136" i="17"/>
  <c r="J136" i="17"/>
  <c r="F136" i="17"/>
  <c r="E136" i="17"/>
  <c r="D136" i="17"/>
  <c r="AI135" i="17"/>
  <c r="L135" i="17"/>
  <c r="K135" i="17"/>
  <c r="J135" i="17"/>
  <c r="F135" i="17"/>
  <c r="E135" i="17"/>
  <c r="D135" i="17"/>
  <c r="AI134" i="17"/>
  <c r="L134" i="17"/>
  <c r="K134" i="17"/>
  <c r="J134" i="17"/>
  <c r="F134" i="17"/>
  <c r="E134" i="17"/>
  <c r="D134" i="17"/>
  <c r="AI133" i="17"/>
  <c r="L133" i="17"/>
  <c r="K133" i="17"/>
  <c r="J133" i="17"/>
  <c r="F133" i="17"/>
  <c r="E133" i="17"/>
  <c r="D133" i="17"/>
  <c r="AI132" i="17"/>
  <c r="L132" i="17"/>
  <c r="K132" i="17"/>
  <c r="J132" i="17"/>
  <c r="F132" i="17"/>
  <c r="E132" i="17"/>
  <c r="D132" i="17"/>
  <c r="AI131" i="17"/>
  <c r="L131" i="17"/>
  <c r="K131" i="17"/>
  <c r="J131" i="17"/>
  <c r="F131" i="17"/>
  <c r="E131" i="17"/>
  <c r="D131" i="17"/>
  <c r="AI130" i="17"/>
  <c r="L130" i="17"/>
  <c r="K130" i="17"/>
  <c r="J130" i="17"/>
  <c r="F130" i="17"/>
  <c r="E130" i="17"/>
  <c r="D130" i="17"/>
  <c r="AI129" i="17"/>
  <c r="L129" i="17"/>
  <c r="K129" i="17"/>
  <c r="J129" i="17"/>
  <c r="F129" i="17"/>
  <c r="E129" i="17"/>
  <c r="D129" i="17"/>
  <c r="AI128" i="17"/>
  <c r="L128" i="17"/>
  <c r="K128" i="17"/>
  <c r="J128" i="17"/>
  <c r="F128" i="17"/>
  <c r="E128" i="17"/>
  <c r="D128" i="17"/>
  <c r="AI127" i="17"/>
  <c r="L127" i="17"/>
  <c r="K127" i="17"/>
  <c r="J127" i="17"/>
  <c r="F127" i="17"/>
  <c r="E127" i="17"/>
  <c r="D127" i="17"/>
  <c r="AI126" i="17"/>
  <c r="L126" i="17"/>
  <c r="K126" i="17"/>
  <c r="J126" i="17"/>
  <c r="F126" i="17"/>
  <c r="E126" i="17"/>
  <c r="D126" i="17"/>
  <c r="AI125" i="17"/>
  <c r="L125" i="17"/>
  <c r="K125" i="17"/>
  <c r="J125" i="17"/>
  <c r="F125" i="17"/>
  <c r="E125" i="17"/>
  <c r="D125" i="17"/>
  <c r="AI124" i="17"/>
  <c r="L124" i="17"/>
  <c r="K124" i="17"/>
  <c r="J124" i="17"/>
  <c r="F124" i="17"/>
  <c r="E124" i="17"/>
  <c r="D124" i="17"/>
  <c r="AI123" i="17"/>
  <c r="L123" i="17"/>
  <c r="K123" i="17"/>
  <c r="J123" i="17"/>
  <c r="F123" i="17"/>
  <c r="E123" i="17"/>
  <c r="D123" i="17"/>
  <c r="AI122" i="17"/>
  <c r="L122" i="17"/>
  <c r="K122" i="17"/>
  <c r="J122" i="17"/>
  <c r="F122" i="17"/>
  <c r="E122" i="17"/>
  <c r="D122" i="17"/>
  <c r="N123" i="17" l="1"/>
  <c r="N133" i="17"/>
  <c r="N139" i="17"/>
  <c r="N128" i="17"/>
  <c r="N127" i="17"/>
  <c r="N130" i="17"/>
  <c r="N135" i="17"/>
  <c r="N137" i="17"/>
  <c r="N140" i="17"/>
  <c r="N125" i="17"/>
  <c r="N132" i="17"/>
  <c r="N136" i="17"/>
  <c r="N134" i="17"/>
  <c r="N131" i="17"/>
  <c r="N122" i="17"/>
  <c r="N124" i="17"/>
  <c r="N126" i="17"/>
  <c r="N129" i="17"/>
  <c r="N138" i="17"/>
  <c r="AI121" i="17"/>
  <c r="L121" i="17"/>
  <c r="K121" i="17"/>
  <c r="J121" i="17"/>
  <c r="F121" i="17"/>
  <c r="E121" i="17"/>
  <c r="D121" i="17"/>
  <c r="AI120" i="17"/>
  <c r="L120" i="17"/>
  <c r="K120" i="17"/>
  <c r="J120" i="17"/>
  <c r="F120" i="17"/>
  <c r="E120" i="17"/>
  <c r="D120" i="17"/>
  <c r="AI119" i="17"/>
  <c r="L119" i="17"/>
  <c r="K119" i="17"/>
  <c r="J119" i="17"/>
  <c r="F119" i="17"/>
  <c r="E119" i="17"/>
  <c r="D119" i="17"/>
  <c r="AI118" i="17"/>
  <c r="L118" i="17"/>
  <c r="K118" i="17"/>
  <c r="J118" i="17"/>
  <c r="F118" i="17"/>
  <c r="E118" i="17"/>
  <c r="D118" i="17"/>
  <c r="AI117" i="17"/>
  <c r="L117" i="17"/>
  <c r="K117" i="17"/>
  <c r="J117" i="17"/>
  <c r="F117" i="17"/>
  <c r="E117" i="17"/>
  <c r="D117" i="17"/>
  <c r="AI116" i="17"/>
  <c r="L116" i="17"/>
  <c r="K116" i="17"/>
  <c r="J116" i="17"/>
  <c r="F116" i="17"/>
  <c r="E116" i="17"/>
  <c r="D116" i="17"/>
  <c r="AI115" i="17"/>
  <c r="L115" i="17"/>
  <c r="K115" i="17"/>
  <c r="J115" i="17"/>
  <c r="F115" i="17"/>
  <c r="E115" i="17"/>
  <c r="D115" i="17"/>
  <c r="AI114" i="17"/>
  <c r="L114" i="17"/>
  <c r="K114" i="17"/>
  <c r="J114" i="17"/>
  <c r="F114" i="17"/>
  <c r="E114" i="17"/>
  <c r="D114" i="17"/>
  <c r="AI113" i="17"/>
  <c r="L113" i="17"/>
  <c r="K113" i="17"/>
  <c r="J113" i="17"/>
  <c r="F113" i="17"/>
  <c r="E113" i="17"/>
  <c r="D113" i="17"/>
  <c r="AI112" i="17"/>
  <c r="L112" i="17"/>
  <c r="K112" i="17"/>
  <c r="J112" i="17"/>
  <c r="F112" i="17"/>
  <c r="E112" i="17"/>
  <c r="D112" i="17"/>
  <c r="AI111" i="17"/>
  <c r="K111" i="17"/>
  <c r="J111" i="17"/>
  <c r="F111" i="17"/>
  <c r="E111" i="17"/>
  <c r="D111" i="17"/>
  <c r="AI110" i="17"/>
  <c r="L110" i="17"/>
  <c r="K110" i="17"/>
  <c r="J110" i="17"/>
  <c r="F110" i="17"/>
  <c r="E110" i="17"/>
  <c r="D110" i="17"/>
  <c r="AI109" i="17"/>
  <c r="L109" i="17"/>
  <c r="K109" i="17"/>
  <c r="J109" i="17"/>
  <c r="F109" i="17"/>
  <c r="E109" i="17"/>
  <c r="D109" i="17"/>
  <c r="AI108" i="17"/>
  <c r="L108" i="17"/>
  <c r="K108" i="17"/>
  <c r="J108" i="17"/>
  <c r="F108" i="17"/>
  <c r="E108" i="17"/>
  <c r="D108" i="17"/>
  <c r="AI107" i="17"/>
  <c r="L107" i="17"/>
  <c r="K107" i="17"/>
  <c r="J107" i="17"/>
  <c r="F107" i="17"/>
  <c r="E107" i="17"/>
  <c r="D107" i="17"/>
  <c r="AI106" i="17"/>
  <c r="L106" i="17"/>
  <c r="K106" i="17"/>
  <c r="J106" i="17"/>
  <c r="F106" i="17"/>
  <c r="E106" i="17"/>
  <c r="D106" i="17"/>
  <c r="AI105" i="17"/>
  <c r="L105" i="17"/>
  <c r="K105" i="17"/>
  <c r="J105" i="17"/>
  <c r="F105" i="17"/>
  <c r="E105" i="17"/>
  <c r="D105" i="17"/>
  <c r="AI104" i="17"/>
  <c r="L104" i="17"/>
  <c r="K104" i="17"/>
  <c r="J104" i="17"/>
  <c r="F104" i="17"/>
  <c r="E104" i="17"/>
  <c r="D104" i="17"/>
  <c r="AI103" i="17"/>
  <c r="L103" i="17"/>
  <c r="K103" i="17"/>
  <c r="J103" i="17"/>
  <c r="F103" i="17"/>
  <c r="E103" i="17"/>
  <c r="D103" i="17"/>
  <c r="AI102" i="17"/>
  <c r="L102" i="17"/>
  <c r="K102" i="17"/>
  <c r="J102" i="17"/>
  <c r="F102" i="17"/>
  <c r="E102" i="17"/>
  <c r="D102" i="17"/>
  <c r="AI101" i="17"/>
  <c r="L101" i="17"/>
  <c r="K101" i="17"/>
  <c r="J101" i="17"/>
  <c r="F101" i="17"/>
  <c r="E101" i="17"/>
  <c r="D101" i="17"/>
  <c r="AI100" i="17"/>
  <c r="L100" i="17"/>
  <c r="K100" i="17"/>
  <c r="J100" i="17"/>
  <c r="F100" i="17"/>
  <c r="E100" i="17"/>
  <c r="D100" i="17"/>
  <c r="D99" i="17"/>
  <c r="E99" i="17"/>
  <c r="F99" i="17"/>
  <c r="J99" i="17"/>
  <c r="K99" i="17"/>
  <c r="L99" i="17"/>
  <c r="AI99" i="17"/>
  <c r="N114" i="17" l="1"/>
  <c r="N110" i="17"/>
  <c r="N99" i="17"/>
  <c r="N106" i="17"/>
  <c r="N117" i="17"/>
  <c r="N108" i="17"/>
  <c r="N120" i="17"/>
  <c r="N121" i="17"/>
  <c r="N113" i="17"/>
  <c r="N116" i="17"/>
  <c r="N118" i="17"/>
  <c r="N100" i="17"/>
  <c r="N107" i="17"/>
  <c r="N103" i="17"/>
  <c r="N101" i="17"/>
  <c r="N104" i="17"/>
  <c r="N111" i="17"/>
  <c r="N112" i="17"/>
  <c r="N115" i="17"/>
  <c r="N102" i="17"/>
  <c r="N109" i="17"/>
  <c r="N105" i="17"/>
  <c r="N119" i="17"/>
  <c r="AI98" i="17" l="1"/>
  <c r="L98" i="17"/>
  <c r="K98" i="17"/>
  <c r="J98" i="17"/>
  <c r="F98" i="17"/>
  <c r="E98" i="17"/>
  <c r="D98" i="17"/>
  <c r="AI97" i="17"/>
  <c r="L97" i="17"/>
  <c r="K97" i="17"/>
  <c r="J97" i="17"/>
  <c r="F97" i="17"/>
  <c r="E97" i="17"/>
  <c r="D97" i="17"/>
  <c r="AI96" i="17"/>
  <c r="L96" i="17"/>
  <c r="K96" i="17"/>
  <c r="J96" i="17"/>
  <c r="F96" i="17"/>
  <c r="E96" i="17"/>
  <c r="D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BF5" i="37"/>
  <c r="AY5" i="37"/>
  <c r="AS5" i="37"/>
  <c r="BO5" i="37" s="1"/>
  <c r="AR5" i="37"/>
  <c r="BN5" i="37" s="1"/>
  <c r="AL5" i="37"/>
  <c r="AQ5" i="37" s="1"/>
  <c r="AK5" i="37"/>
  <c r="AP5" i="37" s="1"/>
  <c r="AC5" i="37"/>
  <c r="BJ5" i="37" s="1"/>
  <c r="AB5" i="37"/>
  <c r="BI5" i="37" s="1"/>
  <c r="AA5" i="37"/>
  <c r="Z5" i="37"/>
  <c r="Y5" i="37"/>
  <c r="N5" i="37"/>
  <c r="BF4" i="37"/>
  <c r="AY4" i="37"/>
  <c r="AL4" i="37"/>
  <c r="AK4" i="37"/>
  <c r="AI4" i="37"/>
  <c r="AC4" i="37"/>
  <c r="BJ4" i="37" s="1"/>
  <c r="AB4" i="37"/>
  <c r="BI4" i="37" s="1"/>
  <c r="Z4" i="37"/>
  <c r="Y4" i="37"/>
  <c r="V4" i="37"/>
  <c r="AA4" i="37" s="1"/>
  <c r="U4" i="37"/>
  <c r="T4" i="37"/>
  <c r="S4" i="37"/>
  <c r="AS4" i="37" s="1"/>
  <c r="BO4" i="37" s="1"/>
  <c r="R4" i="37"/>
  <c r="Q4" i="37"/>
  <c r="P4" i="37"/>
  <c r="O4" i="37"/>
  <c r="N4" i="37"/>
  <c r="BF3" i="37"/>
  <c r="AY3" i="37"/>
  <c r="AL3" i="37"/>
  <c r="AK3" i="37"/>
  <c r="AI3" i="37"/>
  <c r="AC3" i="37"/>
  <c r="BJ3" i="37" s="1"/>
  <c r="AB3" i="37"/>
  <c r="BI3" i="37" s="1"/>
  <c r="AA3" i="37"/>
  <c r="Y3" i="37"/>
  <c r="V3" i="37"/>
  <c r="U3" i="37"/>
  <c r="Z3" i="37" s="1"/>
  <c r="T3" i="37"/>
  <c r="S3" i="37"/>
  <c r="AS3" i="37" s="1"/>
  <c r="BO3" i="37" s="1"/>
  <c r="R3" i="37"/>
  <c r="Q3" i="37"/>
  <c r="AR3" i="37" s="1"/>
  <c r="BN3" i="37" s="1"/>
  <c r="P3" i="37"/>
  <c r="O3" i="37"/>
  <c r="N3" i="37"/>
  <c r="AP3" i="37" l="1"/>
  <c r="AQ3" i="37"/>
  <c r="AR4" i="37"/>
  <c r="BN4" i="37" s="1"/>
  <c r="AQ4" i="37"/>
  <c r="BH4" i="37"/>
  <c r="AP4" i="37"/>
  <c r="BD4" i="37" s="1"/>
  <c r="BH5" i="37"/>
  <c r="N96" i="17"/>
  <c r="N97" i="17"/>
  <c r="N98" i="17"/>
  <c r="BC3" i="37"/>
  <c r="BH3" i="37"/>
  <c r="BM5" i="37"/>
  <c r="BD5" i="37"/>
  <c r="BD3" i="37"/>
  <c r="BM3" i="37"/>
  <c r="BC4" i="37"/>
  <c r="BC5" i="37"/>
  <c r="BM4" i="37" l="1"/>
  <c r="BC43" i="41"/>
  <c r="AY43" i="41"/>
  <c r="AS43" i="41"/>
  <c r="AR43" i="41"/>
  <c r="AQ43" i="41"/>
  <c r="AP43" i="41"/>
  <c r="BD43" i="41" s="1"/>
  <c r="AN43" i="41"/>
  <c r="AL43" i="41"/>
  <c r="AK43" i="41"/>
  <c r="BC42" i="41"/>
  <c r="AY42" i="41"/>
  <c r="AS42" i="41"/>
  <c r="AR42" i="41"/>
  <c r="AQ42" i="41"/>
  <c r="AP42" i="41"/>
  <c r="BD42" i="41" s="1"/>
  <c r="AN42" i="41"/>
  <c r="AL42" i="41"/>
  <c r="AK42" i="41"/>
  <c r="BC41" i="41"/>
  <c r="AY41" i="41"/>
  <c r="AS41" i="41"/>
  <c r="AR41" i="41"/>
  <c r="BD41" i="41" s="1"/>
  <c r="AQ41" i="41"/>
  <c r="AP41" i="41"/>
  <c r="AN41" i="41"/>
  <c r="AL41" i="41"/>
  <c r="AK41" i="41"/>
  <c r="BC40" i="41"/>
  <c r="AY40" i="41"/>
  <c r="AS40" i="41"/>
  <c r="AR40" i="41"/>
  <c r="AQ40" i="41"/>
  <c r="AP40" i="41"/>
  <c r="BD40" i="41" s="1"/>
  <c r="AN40" i="41"/>
  <c r="AL40" i="41"/>
  <c r="AK40" i="41"/>
  <c r="BN39" i="41"/>
  <c r="BM39" i="41"/>
  <c r="BJ39" i="41"/>
  <c r="BI39" i="41"/>
  <c r="BH39" i="41"/>
  <c r="BD39" i="41"/>
  <c r="BC39" i="41"/>
  <c r="AY39" i="41"/>
  <c r="BN38" i="41"/>
  <c r="BM38" i="41"/>
  <c r="BJ38" i="41"/>
  <c r="BI38" i="41"/>
  <c r="BH38" i="41"/>
  <c r="BD38" i="41"/>
  <c r="BC38" i="41"/>
  <c r="AY38" i="41"/>
  <c r="BN37" i="41"/>
  <c r="BM37" i="41"/>
  <c r="BJ37" i="41"/>
  <c r="BI37" i="41"/>
  <c r="BH37" i="41"/>
  <c r="BD37" i="41"/>
  <c r="BC37" i="41"/>
  <c r="AY37" i="41"/>
  <c r="BN36" i="41"/>
  <c r="BM36" i="41"/>
  <c r="BJ36" i="41"/>
  <c r="BI36" i="41"/>
  <c r="BH36" i="41"/>
  <c r="BD36" i="41"/>
  <c r="BC36" i="41"/>
  <c r="AY36" i="41"/>
  <c r="BN35" i="41"/>
  <c r="BM35" i="41"/>
  <c r="BJ35" i="41"/>
  <c r="BI35" i="41"/>
  <c r="BH35" i="41"/>
  <c r="BD35" i="41"/>
  <c r="BC35" i="41"/>
  <c r="AY35" i="41"/>
  <c r="BN34" i="41"/>
  <c r="BM34" i="41"/>
  <c r="BJ34" i="41"/>
  <c r="BI34" i="41"/>
  <c r="BH34" i="41"/>
  <c r="BD34" i="41"/>
  <c r="BC34" i="41"/>
  <c r="AY34" i="41"/>
  <c r="BN33" i="41"/>
  <c r="BM33" i="41"/>
  <c r="BJ33" i="41"/>
  <c r="BI33" i="41"/>
  <c r="BH33" i="41"/>
  <c r="BD33" i="41"/>
  <c r="BC33" i="41"/>
  <c r="AY33" i="41"/>
  <c r="BN32" i="41"/>
  <c r="BM32" i="41"/>
  <c r="BJ32" i="41"/>
  <c r="BI32" i="41"/>
  <c r="BH32" i="41"/>
  <c r="BD32" i="41"/>
  <c r="BC32" i="41"/>
  <c r="AY32" i="41"/>
  <c r="BN31" i="41"/>
  <c r="BM31" i="41"/>
  <c r="BJ31" i="41"/>
  <c r="BI31" i="41"/>
  <c r="BH31" i="41"/>
  <c r="BD31" i="41"/>
  <c r="BC31" i="41"/>
  <c r="AY31" i="41"/>
  <c r="BN30" i="41"/>
  <c r="BM30" i="41"/>
  <c r="BJ30" i="41"/>
  <c r="BI30" i="41"/>
  <c r="BH30" i="41"/>
  <c r="BD30" i="41"/>
  <c r="BC30" i="41"/>
  <c r="AY30" i="41"/>
  <c r="BN29" i="41"/>
  <c r="BM29" i="41"/>
  <c r="BJ29" i="41"/>
  <c r="BI29" i="41"/>
  <c r="BH29" i="41"/>
  <c r="BD29" i="41"/>
  <c r="BC29" i="41"/>
  <c r="AY29" i="41"/>
  <c r="BN28" i="41"/>
  <c r="BM28" i="41"/>
  <c r="BJ28" i="41"/>
  <c r="BI28" i="41"/>
  <c r="BH28" i="41"/>
  <c r="BD28" i="41"/>
  <c r="BC28" i="41"/>
  <c r="AY28" i="41"/>
  <c r="BN27" i="41"/>
  <c r="BM27" i="41"/>
  <c r="BJ27" i="41"/>
  <c r="BI27" i="41"/>
  <c r="BH27" i="41"/>
  <c r="BD27" i="41"/>
  <c r="BC27" i="41"/>
  <c r="AY27" i="41"/>
  <c r="BN26" i="41"/>
  <c r="BM26" i="41"/>
  <c r="BJ26" i="41"/>
  <c r="BI26" i="41"/>
  <c r="BH26" i="41"/>
  <c r="BD26" i="41"/>
  <c r="BC26" i="41"/>
  <c r="AY26" i="41"/>
  <c r="BN25" i="41"/>
  <c r="BM25" i="41"/>
  <c r="BJ25" i="41"/>
  <c r="BI25" i="41"/>
  <c r="BH25" i="41"/>
  <c r="BD25" i="41"/>
  <c r="BC25" i="41"/>
  <c r="AY25" i="41"/>
  <c r="BO24" i="41"/>
  <c r="BN24" i="41"/>
  <c r="BM24" i="41"/>
  <c r="BJ24" i="41"/>
  <c r="BI24" i="41"/>
  <c r="BH24" i="41"/>
  <c r="BD24" i="41"/>
  <c r="BC24" i="41"/>
  <c r="AY24" i="41"/>
  <c r="BO23" i="41"/>
  <c r="BN23" i="41"/>
  <c r="BM23" i="41"/>
  <c r="BJ23" i="41"/>
  <c r="BI23" i="41"/>
  <c r="BH23" i="41"/>
  <c r="BD23" i="41"/>
  <c r="BC23" i="41"/>
  <c r="AY23" i="41"/>
  <c r="BN22" i="41"/>
  <c r="BM22" i="41"/>
  <c r="BJ22" i="41"/>
  <c r="BI22" i="41"/>
  <c r="BH22" i="41"/>
  <c r="BD22" i="41"/>
  <c r="BC22" i="41"/>
  <c r="AY22" i="41"/>
  <c r="BN21" i="41"/>
  <c r="BM21" i="41"/>
  <c r="BJ21" i="41"/>
  <c r="BI21" i="41"/>
  <c r="BH21" i="41"/>
  <c r="BD21" i="41"/>
  <c r="BC21" i="41"/>
  <c r="AY21" i="41"/>
  <c r="BN20" i="41"/>
  <c r="BM20" i="41"/>
  <c r="BJ20" i="41"/>
  <c r="BI20" i="41"/>
  <c r="BH20" i="41"/>
  <c r="BD20" i="41"/>
  <c r="BC20" i="41"/>
  <c r="BN19" i="41"/>
  <c r="BM19" i="41"/>
  <c r="BJ19" i="41"/>
  <c r="BI19" i="41"/>
  <c r="BH19" i="41"/>
  <c r="BD19" i="41"/>
  <c r="BC19" i="41"/>
  <c r="BN18" i="41"/>
  <c r="BM18" i="41"/>
  <c r="BJ18" i="41"/>
  <c r="BI18" i="41"/>
  <c r="BH18" i="41"/>
  <c r="BD18" i="41"/>
  <c r="BC18" i="41"/>
  <c r="AY18" i="41"/>
  <c r="BN17" i="41"/>
  <c r="BM17" i="41"/>
  <c r="BJ17" i="41"/>
  <c r="BI17" i="41"/>
  <c r="BH17" i="41"/>
  <c r="BD17" i="41"/>
  <c r="BC17" i="41"/>
  <c r="AY17" i="41"/>
  <c r="BN16" i="41"/>
  <c r="BM16" i="41"/>
  <c r="BJ16" i="41"/>
  <c r="BI16" i="41"/>
  <c r="BH16" i="41"/>
  <c r="BC16" i="41"/>
  <c r="AY16" i="41"/>
  <c r="AS16" i="41"/>
  <c r="AR16" i="41"/>
  <c r="AQ16" i="41"/>
  <c r="AP16" i="41"/>
  <c r="BD16" i="41" s="1"/>
  <c r="AN16" i="41"/>
  <c r="AL16" i="41"/>
  <c r="AK16" i="41"/>
  <c r="AI16" i="41"/>
  <c r="BN15" i="41"/>
  <c r="BM15" i="41"/>
  <c r="BJ15" i="41"/>
  <c r="BI15" i="41"/>
  <c r="BH15" i="41"/>
  <c r="BC15" i="41"/>
  <c r="AY15" i="41"/>
  <c r="AS15" i="41"/>
  <c r="AR15" i="41"/>
  <c r="AQ15" i="41"/>
  <c r="AP15" i="41"/>
  <c r="BD15" i="41" s="1"/>
  <c r="AN15" i="41"/>
  <c r="AL15" i="41"/>
  <c r="AK15" i="41"/>
  <c r="AI15" i="41"/>
  <c r="BN14" i="41"/>
  <c r="BM14" i="41"/>
  <c r="BJ14" i="41"/>
  <c r="BI14" i="41"/>
  <c r="BH14" i="41"/>
  <c r="BC14" i="41"/>
  <c r="AY14" i="41"/>
  <c r="AS14" i="41"/>
  <c r="AR14" i="41"/>
  <c r="BD14" i="41" s="1"/>
  <c r="AQ14" i="41"/>
  <c r="AP14" i="41"/>
  <c r="AN14" i="41"/>
  <c r="AL14" i="41"/>
  <c r="AK14" i="41"/>
  <c r="AI14" i="41"/>
  <c r="BO13" i="41"/>
  <c r="BN13" i="41"/>
  <c r="BJ13" i="41"/>
  <c r="BI13" i="41"/>
  <c r="BH13" i="41"/>
  <c r="BC13" i="41"/>
  <c r="AY13" i="41"/>
  <c r="AS13" i="41"/>
  <c r="AR13" i="41"/>
  <c r="BD13" i="41" s="1"/>
  <c r="AQ13" i="41"/>
  <c r="AP13" i="41"/>
  <c r="AN13" i="41"/>
  <c r="AL13" i="41"/>
  <c r="AK13" i="41"/>
  <c r="AI13" i="41"/>
  <c r="BO12" i="41"/>
  <c r="BN12" i="41"/>
  <c r="BJ12" i="41"/>
  <c r="BI12" i="41"/>
  <c r="BH12" i="41"/>
  <c r="BC12" i="41"/>
  <c r="AY12" i="41"/>
  <c r="AS12" i="41"/>
  <c r="AR12" i="41"/>
  <c r="AQ12" i="41"/>
  <c r="AP12" i="41"/>
  <c r="BD12" i="41" s="1"/>
  <c r="AN12" i="41"/>
  <c r="AL12" i="41"/>
  <c r="AK12" i="41"/>
  <c r="AI12" i="41"/>
  <c r="BO11" i="41"/>
  <c r="BN11" i="41"/>
  <c r="BJ11" i="41"/>
  <c r="BI11" i="41"/>
  <c r="BH11" i="41"/>
  <c r="BC11" i="41"/>
  <c r="AY11" i="41"/>
  <c r="AS11" i="41"/>
  <c r="AR11" i="41"/>
  <c r="AQ11" i="41"/>
  <c r="AP11" i="41"/>
  <c r="BD11" i="41" s="1"/>
  <c r="AN11" i="41"/>
  <c r="AL11" i="41"/>
  <c r="AK11" i="41"/>
  <c r="AI11" i="41"/>
  <c r="BD10" i="41"/>
  <c r="AY10" i="41"/>
  <c r="BD9" i="41"/>
  <c r="AY9" i="41"/>
  <c r="BN8" i="41"/>
  <c r="BM8" i="41"/>
  <c r="BI8" i="41"/>
  <c r="BH8" i="41"/>
  <c r="BC8" i="41"/>
  <c r="AY8" i="41"/>
  <c r="AS8" i="41"/>
  <c r="AR8" i="41"/>
  <c r="BD8" i="41" s="1"/>
  <c r="AQ8" i="41"/>
  <c r="AP8" i="41"/>
  <c r="AN8" i="41"/>
  <c r="AL8" i="41"/>
  <c r="AK8" i="41"/>
  <c r="AI8" i="41"/>
  <c r="BN7" i="41"/>
  <c r="BM7" i="41"/>
  <c r="BI7" i="41"/>
  <c r="BH7" i="41"/>
  <c r="BC7" i="41"/>
  <c r="AY7" i="41"/>
  <c r="AS7" i="41"/>
  <c r="AR7" i="41"/>
  <c r="BD7" i="41" s="1"/>
  <c r="AQ7" i="41"/>
  <c r="AP7" i="41"/>
  <c r="AN7" i="41"/>
  <c r="AL7" i="41"/>
  <c r="AK7" i="41"/>
  <c r="AI7" i="41"/>
  <c r="BN6" i="41"/>
  <c r="BM6" i="41"/>
  <c r="BI6" i="41"/>
  <c r="BH6" i="41"/>
  <c r="BC6" i="41"/>
  <c r="AY6" i="41"/>
  <c r="AS6" i="41"/>
  <c r="AR6" i="41"/>
  <c r="BD6" i="41" s="1"/>
  <c r="AQ6" i="41"/>
  <c r="AP6" i="41"/>
  <c r="AN6" i="41"/>
  <c r="AL6" i="41"/>
  <c r="AK6" i="41"/>
  <c r="AI6" i="41"/>
  <c r="AY5" i="41"/>
  <c r="AP5" i="41"/>
  <c r="AN5" i="41"/>
  <c r="AS5" i="41" s="1"/>
  <c r="AL5" i="41"/>
  <c r="AQ5" i="41" s="1"/>
  <c r="AK5" i="41"/>
  <c r="AI5" i="41"/>
  <c r="AB5" i="41"/>
  <c r="BI5" i="41" s="1"/>
  <c r="Z5" i="41"/>
  <c r="BC5" i="41" s="1"/>
  <c r="X5" i="41"/>
  <c r="AC5" i="41" s="1"/>
  <c r="BJ5" i="41" s="1"/>
  <c r="V5" i="41"/>
  <c r="AA5" i="41" s="1"/>
  <c r="U5" i="41"/>
  <c r="T5" i="41"/>
  <c r="S5" i="41"/>
  <c r="R5" i="41"/>
  <c r="AR5" i="41" s="1"/>
  <c r="BN5" i="41" s="1"/>
  <c r="Q5" i="41"/>
  <c r="P5" i="41"/>
  <c r="O5" i="41"/>
  <c r="AY4" i="41"/>
  <c r="AN4" i="41"/>
  <c r="AS4" i="41" s="1"/>
  <c r="AL4" i="41"/>
  <c r="AQ4" i="41" s="1"/>
  <c r="AK4" i="41"/>
  <c r="AP4" i="41" s="1"/>
  <c r="AI4" i="41"/>
  <c r="AB4" i="41"/>
  <c r="BI4" i="41" s="1"/>
  <c r="X4" i="41"/>
  <c r="AC4" i="41" s="1"/>
  <c r="BJ4" i="41" s="1"/>
  <c r="V4" i="41"/>
  <c r="AA4" i="41" s="1"/>
  <c r="U4" i="41"/>
  <c r="Z4" i="41" s="1"/>
  <c r="T4" i="41"/>
  <c r="S4" i="41"/>
  <c r="R4" i="41"/>
  <c r="AR4" i="41" s="1"/>
  <c r="BN4" i="41" s="1"/>
  <c r="Q4" i="41"/>
  <c r="P4" i="41"/>
  <c r="O4" i="41"/>
  <c r="AY3" i="41"/>
  <c r="AN3" i="41"/>
  <c r="AS3" i="41" s="1"/>
  <c r="AL3" i="41"/>
  <c r="AQ3" i="41" s="1"/>
  <c r="AK3" i="41"/>
  <c r="AI3" i="41"/>
  <c r="AB3" i="41"/>
  <c r="BI3" i="41" s="1"/>
  <c r="Z3" i="41"/>
  <c r="BH3" i="41" s="1"/>
  <c r="X3" i="41"/>
  <c r="AC3" i="41" s="1"/>
  <c r="BJ3" i="41" s="1"/>
  <c r="V3" i="41"/>
  <c r="AA3" i="41" s="1"/>
  <c r="U3" i="41"/>
  <c r="T3" i="41"/>
  <c r="S3" i="41"/>
  <c r="R3" i="41"/>
  <c r="AR3" i="41" s="1"/>
  <c r="BN3" i="41" s="1"/>
  <c r="Q3" i="41"/>
  <c r="P3" i="41"/>
  <c r="AP3" i="41" s="1"/>
  <c r="O3" i="41"/>
  <c r="AY2" i="41"/>
  <c r="AN2" i="41"/>
  <c r="AS2" i="41" s="1"/>
  <c r="AL2" i="41"/>
  <c r="AQ2" i="41" s="1"/>
  <c r="AK2" i="41"/>
  <c r="AP2" i="41" s="1"/>
  <c r="AI2" i="41"/>
  <c r="AB2" i="41"/>
  <c r="BI2" i="41" s="1"/>
  <c r="Z2" i="41"/>
  <c r="X2" i="41"/>
  <c r="AC2" i="41" s="1"/>
  <c r="BJ2" i="41" s="1"/>
  <c r="V2" i="41"/>
  <c r="AA2" i="41" s="1"/>
  <c r="U2" i="41"/>
  <c r="T2" i="41"/>
  <c r="S2" i="41"/>
  <c r="R2" i="41"/>
  <c r="AR2" i="41" s="1"/>
  <c r="BN2" i="41" s="1"/>
  <c r="Q2" i="41"/>
  <c r="P2" i="41"/>
  <c r="O2" i="41"/>
  <c r="BM2" i="41" l="1"/>
  <c r="BD2" i="41"/>
  <c r="BC2" i="41"/>
  <c r="BM3" i="41"/>
  <c r="BD3" i="41"/>
  <c r="BC4" i="41"/>
  <c r="BH4" i="41"/>
  <c r="BM5" i="41"/>
  <c r="BD4" i="41"/>
  <c r="BM4" i="41"/>
  <c r="BH5" i="41"/>
  <c r="BC3" i="41"/>
  <c r="BH2" i="41"/>
  <c r="BD5" i="41"/>
  <c r="BF43" i="41" l="1"/>
  <c r="BF36" i="41"/>
  <c r="BF32" i="41"/>
  <c r="BF28" i="41"/>
  <c r="BF22" i="41"/>
  <c r="BF16" i="41"/>
  <c r="BF12" i="41"/>
  <c r="BF9" i="41"/>
  <c r="BF5" i="41"/>
  <c r="BF3" i="41"/>
  <c r="BF42" i="41"/>
  <c r="BF23" i="41"/>
  <c r="BF17" i="41"/>
  <c r="BF8" i="41"/>
  <c r="BF40" i="41"/>
  <c r="BF39" i="41"/>
  <c r="BF35" i="41"/>
  <c r="BF31" i="41"/>
  <c r="BF27" i="41"/>
  <c r="BF24" i="41"/>
  <c r="BF21" i="41"/>
  <c r="BF15" i="41"/>
  <c r="BF11" i="41"/>
  <c r="BF10" i="41"/>
  <c r="BF37" i="41"/>
  <c r="BF33" i="41"/>
  <c r="BF29" i="41"/>
  <c r="BF13" i="41"/>
  <c r="BF6" i="41"/>
  <c r="BF41" i="41"/>
  <c r="BF38" i="41"/>
  <c r="BF34" i="41"/>
  <c r="BF30" i="41"/>
  <c r="BF26" i="41"/>
  <c r="BF20" i="41"/>
  <c r="BF19" i="41"/>
  <c r="BF18" i="41"/>
  <c r="BF14" i="41"/>
  <c r="BF4" i="41"/>
  <c r="BF2" i="41"/>
  <c r="BF25" i="41"/>
  <c r="BF7" i="41"/>
  <c r="AI95" i="17" l="1"/>
  <c r="K95" i="17"/>
  <c r="J95" i="17"/>
  <c r="F95" i="17"/>
  <c r="E95" i="17"/>
  <c r="D95" i="17"/>
  <c r="AI94" i="17"/>
  <c r="K94" i="17"/>
  <c r="J94" i="17"/>
  <c r="F94" i="17"/>
  <c r="E94" i="17"/>
  <c r="D94" i="17"/>
  <c r="AI93" i="17"/>
  <c r="K93" i="17"/>
  <c r="J93" i="17"/>
  <c r="F93" i="17"/>
  <c r="E93" i="17"/>
  <c r="D93" i="17"/>
  <c r="AI92" i="17"/>
  <c r="K92" i="17"/>
  <c r="J92" i="17"/>
  <c r="F92" i="17"/>
  <c r="E92" i="17"/>
  <c r="D92" i="17"/>
  <c r="AI91" i="17"/>
  <c r="K91" i="17"/>
  <c r="J91" i="17"/>
  <c r="F91" i="17"/>
  <c r="E91" i="17"/>
  <c r="D91" i="17"/>
  <c r="AI90" i="17"/>
  <c r="K90" i="17"/>
  <c r="J90" i="17"/>
  <c r="F90" i="17"/>
  <c r="E90" i="17"/>
  <c r="D90" i="17"/>
  <c r="AI89" i="17"/>
  <c r="K89" i="17"/>
  <c r="J89" i="17"/>
  <c r="F89" i="17"/>
  <c r="E89" i="17"/>
  <c r="D89" i="17"/>
  <c r="AI88" i="17"/>
  <c r="K88" i="17"/>
  <c r="J88" i="17"/>
  <c r="F88" i="17"/>
  <c r="E88" i="17"/>
  <c r="D88" i="17"/>
  <c r="AI87" i="17"/>
  <c r="K87" i="17"/>
  <c r="J87" i="17"/>
  <c r="F87" i="17"/>
  <c r="E87" i="17"/>
  <c r="D87" i="17"/>
  <c r="AI86" i="17"/>
  <c r="K86" i="17"/>
  <c r="J86" i="17"/>
  <c r="F86" i="17"/>
  <c r="E86" i="17"/>
  <c r="D86" i="17"/>
  <c r="AI85" i="17"/>
  <c r="K85" i="17"/>
  <c r="J85" i="17"/>
  <c r="F85" i="17"/>
  <c r="E85" i="17"/>
  <c r="D85" i="17"/>
  <c r="AI84" i="17"/>
  <c r="K84" i="17"/>
  <c r="J84" i="17"/>
  <c r="F84" i="17"/>
  <c r="E84" i="17"/>
  <c r="D84" i="17"/>
  <c r="AI83" i="17"/>
  <c r="K83" i="17"/>
  <c r="J83" i="17"/>
  <c r="F83" i="17"/>
  <c r="E83" i="17"/>
  <c r="D83" i="17"/>
  <c r="AI82" i="17"/>
  <c r="K82" i="17"/>
  <c r="J82" i="17"/>
  <c r="F82" i="17"/>
  <c r="E82" i="17"/>
  <c r="D82" i="17"/>
  <c r="AI81" i="17"/>
  <c r="K81" i="17"/>
  <c r="J81" i="17"/>
  <c r="F81" i="17"/>
  <c r="E81" i="17"/>
  <c r="D81" i="17"/>
  <c r="AI80" i="17"/>
  <c r="K80" i="17"/>
  <c r="J80" i="17"/>
  <c r="F80" i="17"/>
  <c r="E80" i="17"/>
  <c r="D80" i="17"/>
  <c r="AI79" i="17"/>
  <c r="K79" i="17"/>
  <c r="J79" i="17"/>
  <c r="F79" i="17"/>
  <c r="E79" i="17"/>
  <c r="D79" i="17"/>
  <c r="AI78" i="17"/>
  <c r="K78" i="17"/>
  <c r="J78" i="17"/>
  <c r="F78" i="17"/>
  <c r="E78" i="17"/>
  <c r="D78" i="17"/>
  <c r="AI77" i="17"/>
  <c r="K77" i="17"/>
  <c r="J77" i="17"/>
  <c r="F77" i="17"/>
  <c r="E77" i="17"/>
  <c r="D77" i="17"/>
  <c r="AI76" i="17"/>
  <c r="K76" i="17"/>
  <c r="J76" i="17"/>
  <c r="F76" i="17"/>
  <c r="E76" i="17"/>
  <c r="D76" i="17"/>
  <c r="AI75" i="17"/>
  <c r="K75" i="17"/>
  <c r="J75" i="17"/>
  <c r="F75" i="17"/>
  <c r="E75" i="17"/>
  <c r="D75" i="17"/>
  <c r="AI74" i="17"/>
  <c r="K74" i="17"/>
  <c r="J74" i="17"/>
  <c r="F74" i="17"/>
  <c r="E74" i="17"/>
  <c r="D74" i="17"/>
  <c r="AI73" i="17"/>
  <c r="K73" i="17"/>
  <c r="J73" i="17"/>
  <c r="F73" i="17"/>
  <c r="E73" i="17"/>
  <c r="D73" i="17"/>
  <c r="AI72" i="17"/>
  <c r="K72" i="17"/>
  <c r="J72" i="17"/>
  <c r="F72" i="17"/>
  <c r="E72" i="17"/>
  <c r="D72" i="17"/>
  <c r="AI71" i="17"/>
  <c r="K71" i="17"/>
  <c r="J71" i="17"/>
  <c r="F71" i="17"/>
  <c r="E71" i="17"/>
  <c r="D71" i="17"/>
  <c r="AI70" i="17"/>
  <c r="K70" i="17"/>
  <c r="J70" i="17"/>
  <c r="F70" i="17"/>
  <c r="E70" i="17"/>
  <c r="D70" i="17"/>
  <c r="AI69" i="17"/>
  <c r="K69" i="17"/>
  <c r="J69" i="17"/>
  <c r="F69" i="17"/>
  <c r="E69" i="17"/>
  <c r="D69" i="17"/>
  <c r="AI68" i="17"/>
  <c r="K68" i="17"/>
  <c r="J68" i="17"/>
  <c r="F68" i="17"/>
  <c r="E68" i="17"/>
  <c r="D68" i="17"/>
  <c r="AI67" i="17"/>
  <c r="K67" i="17"/>
  <c r="J67" i="17"/>
  <c r="F67" i="17"/>
  <c r="E67" i="17"/>
  <c r="D67" i="17"/>
  <c r="AI66" i="17"/>
  <c r="K66" i="17"/>
  <c r="J66" i="17"/>
  <c r="F66" i="17"/>
  <c r="E66" i="17"/>
  <c r="D66" i="17"/>
  <c r="AI65" i="17"/>
  <c r="K65" i="17"/>
  <c r="J65" i="17"/>
  <c r="F65" i="17"/>
  <c r="E65" i="17"/>
  <c r="D65" i="17"/>
  <c r="AI64" i="17"/>
  <c r="K64" i="17"/>
  <c r="J64" i="17"/>
  <c r="F64" i="17"/>
  <c r="E64" i="17"/>
  <c r="D64" i="17"/>
  <c r="AI63" i="17"/>
  <c r="K63" i="17"/>
  <c r="J63" i="17"/>
  <c r="F63" i="17"/>
  <c r="E63" i="17"/>
  <c r="D63" i="17"/>
  <c r="AI62" i="17"/>
  <c r="K62" i="17"/>
  <c r="J62" i="17"/>
  <c r="F62" i="17"/>
  <c r="E62" i="17"/>
  <c r="D62" i="17"/>
  <c r="AI61" i="17"/>
  <c r="K61" i="17"/>
  <c r="J61" i="17"/>
  <c r="F61" i="17"/>
  <c r="E61" i="17"/>
  <c r="D61" i="17"/>
  <c r="AI60" i="17"/>
  <c r="K60" i="17"/>
  <c r="J60" i="17"/>
  <c r="F60" i="17"/>
  <c r="E60" i="17"/>
  <c r="D60" i="17"/>
  <c r="AI59" i="17"/>
  <c r="K59" i="17"/>
  <c r="J59" i="17"/>
  <c r="F59" i="17"/>
  <c r="E59" i="17"/>
  <c r="D59" i="17"/>
  <c r="AI58" i="17"/>
  <c r="K58" i="17"/>
  <c r="J58" i="17"/>
  <c r="F58" i="17"/>
  <c r="E58" i="17"/>
  <c r="D58" i="17"/>
  <c r="AI57" i="17"/>
  <c r="K57" i="17"/>
  <c r="J57" i="17"/>
  <c r="F57" i="17"/>
  <c r="E57" i="17"/>
  <c r="D57" i="17"/>
  <c r="AI56" i="17"/>
  <c r="K56" i="17"/>
  <c r="J56" i="17"/>
  <c r="F56" i="17"/>
  <c r="E56" i="17"/>
  <c r="D56" i="17"/>
  <c r="AI55" i="17"/>
  <c r="K55" i="17"/>
  <c r="J55" i="17"/>
  <c r="F55" i="17"/>
  <c r="E55" i="17"/>
  <c r="D55" i="17"/>
  <c r="AI54" i="17"/>
  <c r="K54" i="17"/>
  <c r="J54" i="17"/>
  <c r="F54" i="17"/>
  <c r="E54" i="17"/>
  <c r="D54" i="17"/>
  <c r="AI53" i="17"/>
  <c r="K53" i="17"/>
  <c r="J53" i="17"/>
  <c r="F53" i="17"/>
  <c r="E53" i="17"/>
  <c r="D53" i="17"/>
  <c r="AI52" i="17"/>
  <c r="K52" i="17"/>
  <c r="J52" i="17"/>
  <c r="F52" i="17"/>
  <c r="E52" i="17"/>
  <c r="D52" i="17"/>
  <c r="AI51" i="17"/>
  <c r="K51" i="17"/>
  <c r="J51" i="17"/>
  <c r="F51" i="17"/>
  <c r="E51" i="17"/>
  <c r="D51" i="17"/>
  <c r="AI50" i="17"/>
  <c r="K50" i="17"/>
  <c r="J50" i="17"/>
  <c r="F50" i="17"/>
  <c r="E50" i="17"/>
  <c r="D50" i="17"/>
  <c r="AI49" i="17"/>
  <c r="K49" i="17"/>
  <c r="J49" i="17"/>
  <c r="F49" i="17"/>
  <c r="E49" i="17"/>
  <c r="D49" i="17"/>
  <c r="AI48" i="17"/>
  <c r="K48" i="17"/>
  <c r="J48" i="17"/>
  <c r="F48" i="17"/>
  <c r="E48" i="17"/>
  <c r="D48" i="17"/>
  <c r="AI47" i="17"/>
  <c r="K47" i="17"/>
  <c r="J47" i="17"/>
  <c r="F47" i="17"/>
  <c r="E47" i="17"/>
  <c r="D47" i="17"/>
  <c r="AI46" i="17"/>
  <c r="K46" i="17"/>
  <c r="J46" i="17"/>
  <c r="F46" i="17"/>
  <c r="E46" i="17"/>
  <c r="D46" i="17"/>
  <c r="AI45" i="17"/>
  <c r="K45" i="17"/>
  <c r="J45" i="17"/>
  <c r="F45" i="17"/>
  <c r="E45" i="17"/>
  <c r="D45" i="17"/>
  <c r="AI44" i="17"/>
  <c r="K44" i="17"/>
  <c r="J44" i="17"/>
  <c r="F44" i="17"/>
  <c r="E44" i="17"/>
  <c r="D44" i="17"/>
  <c r="AI43" i="17"/>
  <c r="K43" i="17"/>
  <c r="J43" i="17"/>
  <c r="F43" i="17"/>
  <c r="E43" i="17"/>
  <c r="D43" i="17"/>
  <c r="AI42" i="17"/>
  <c r="K42" i="17"/>
  <c r="J42" i="17"/>
  <c r="F42" i="17"/>
  <c r="E42" i="17"/>
  <c r="D42" i="17"/>
  <c r="AI41" i="17"/>
  <c r="K41" i="17"/>
  <c r="J41" i="17"/>
  <c r="F41" i="17"/>
  <c r="E41" i="17"/>
  <c r="D41" i="17"/>
  <c r="AI40" i="17"/>
  <c r="K40" i="17"/>
  <c r="J40" i="17"/>
  <c r="F40" i="17"/>
  <c r="E40" i="17"/>
  <c r="D40" i="17"/>
  <c r="AI39" i="17"/>
  <c r="K39" i="17"/>
  <c r="J39" i="17"/>
  <c r="F39" i="17"/>
  <c r="E39" i="17"/>
  <c r="D39" i="17"/>
  <c r="AI38" i="17"/>
  <c r="K38" i="17"/>
  <c r="J38" i="17"/>
  <c r="F38" i="17"/>
  <c r="E38" i="17"/>
  <c r="D38" i="17"/>
  <c r="AI37" i="17"/>
  <c r="K37" i="17"/>
  <c r="J37" i="17"/>
  <c r="F37" i="17"/>
  <c r="E37" i="17"/>
  <c r="D37" i="17"/>
  <c r="AI36" i="17"/>
  <c r="L36" i="17"/>
  <c r="K36" i="17"/>
  <c r="J36" i="17"/>
  <c r="F36" i="17"/>
  <c r="E36" i="17"/>
  <c r="D36" i="17"/>
  <c r="AI35" i="17"/>
  <c r="L35" i="17"/>
  <c r="K35" i="17"/>
  <c r="J35" i="17"/>
  <c r="F35" i="17"/>
  <c r="E35" i="17"/>
  <c r="D35" i="17"/>
  <c r="AI34" i="17"/>
  <c r="L34" i="17"/>
  <c r="K34" i="17"/>
  <c r="J34" i="17"/>
  <c r="F34" i="17"/>
  <c r="E34" i="17"/>
  <c r="D34" i="17"/>
  <c r="AI33" i="17"/>
  <c r="L33" i="17"/>
  <c r="K33" i="17"/>
  <c r="J33" i="17"/>
  <c r="F33" i="17"/>
  <c r="E33" i="17"/>
  <c r="D33" i="17"/>
  <c r="AI32" i="17"/>
  <c r="L32" i="17"/>
  <c r="K32" i="17"/>
  <c r="J32" i="17"/>
  <c r="F32" i="17"/>
  <c r="E32" i="17"/>
  <c r="D32" i="17"/>
  <c r="AI31" i="17"/>
  <c r="L31" i="17"/>
  <c r="K31" i="17"/>
  <c r="J31" i="17"/>
  <c r="F31" i="17"/>
  <c r="E31" i="17"/>
  <c r="D31" i="17"/>
  <c r="AI30" i="17"/>
  <c r="L30" i="17"/>
  <c r="K30" i="17"/>
  <c r="J30" i="17"/>
  <c r="F30" i="17"/>
  <c r="E30" i="17"/>
  <c r="D30" i="17"/>
  <c r="AI29" i="17"/>
  <c r="L29" i="17"/>
  <c r="K29" i="17"/>
  <c r="J29" i="17"/>
  <c r="F29" i="17"/>
  <c r="E29" i="17"/>
  <c r="D29" i="17"/>
  <c r="AI28" i="17"/>
  <c r="L28" i="17"/>
  <c r="K28" i="17"/>
  <c r="J28" i="17"/>
  <c r="F28" i="17"/>
  <c r="E28" i="17"/>
  <c r="D28" i="17"/>
  <c r="AI27" i="17"/>
  <c r="L27" i="17"/>
  <c r="K27" i="17"/>
  <c r="J27" i="17"/>
  <c r="F27" i="17"/>
  <c r="E27" i="17"/>
  <c r="D27" i="17"/>
  <c r="AI26" i="17"/>
  <c r="L26" i="17"/>
  <c r="K26" i="17"/>
  <c r="J26" i="17"/>
  <c r="F26" i="17"/>
  <c r="E26" i="17"/>
  <c r="D26" i="17"/>
  <c r="AI25" i="17"/>
  <c r="L25" i="17"/>
  <c r="K25" i="17"/>
  <c r="J25" i="17"/>
  <c r="F25" i="17"/>
  <c r="E25" i="17"/>
  <c r="D25" i="17"/>
  <c r="AI24" i="17"/>
  <c r="L24" i="17"/>
  <c r="K24" i="17"/>
  <c r="J24" i="17"/>
  <c r="F24" i="17"/>
  <c r="E24" i="17"/>
  <c r="D24" i="17"/>
  <c r="AI23" i="17"/>
  <c r="L23" i="17"/>
  <c r="K23" i="17"/>
  <c r="J23" i="17"/>
  <c r="F23" i="17"/>
  <c r="E23" i="17"/>
  <c r="D23" i="17"/>
  <c r="AI22" i="17"/>
  <c r="L22" i="17"/>
  <c r="K22" i="17"/>
  <c r="J22" i="17"/>
  <c r="F22" i="17"/>
  <c r="E22" i="17"/>
  <c r="D22" i="17"/>
  <c r="AI21" i="17"/>
  <c r="L21" i="17"/>
  <c r="K21" i="17"/>
  <c r="J21" i="17"/>
  <c r="F21" i="17"/>
  <c r="E21" i="17"/>
  <c r="D21" i="17"/>
  <c r="AI20" i="17"/>
  <c r="L20" i="17"/>
  <c r="K20" i="17"/>
  <c r="J20" i="17"/>
  <c r="F20" i="17"/>
  <c r="E20" i="17"/>
  <c r="D20" i="17"/>
  <c r="AI19" i="17"/>
  <c r="L19" i="17"/>
  <c r="K19" i="17"/>
  <c r="J19" i="17"/>
  <c r="F19" i="17"/>
  <c r="E19" i="17"/>
  <c r="D19" i="17"/>
  <c r="AI18" i="17"/>
  <c r="L18" i="17"/>
  <c r="K18" i="17"/>
  <c r="J18" i="17"/>
  <c r="F18" i="17"/>
  <c r="E18" i="17"/>
  <c r="D18" i="17"/>
  <c r="AI17" i="17"/>
  <c r="L17" i="17"/>
  <c r="K17" i="17"/>
  <c r="J17" i="17"/>
  <c r="F17" i="17"/>
  <c r="E17" i="17"/>
  <c r="D17" i="17"/>
  <c r="AI16" i="17"/>
  <c r="L16" i="17"/>
  <c r="K16" i="17"/>
  <c r="J16" i="17"/>
  <c r="F16" i="17"/>
  <c r="E16" i="17"/>
  <c r="D16" i="17"/>
  <c r="AI15" i="17"/>
  <c r="L15" i="17"/>
  <c r="K15" i="17"/>
  <c r="J15" i="17"/>
  <c r="F15" i="17"/>
  <c r="E15" i="17"/>
  <c r="D15" i="17"/>
  <c r="AI14" i="17"/>
  <c r="L14" i="17"/>
  <c r="K14" i="17"/>
  <c r="J14" i="17"/>
  <c r="F14" i="17"/>
  <c r="E14" i="17"/>
  <c r="D14" i="17"/>
  <c r="AI13" i="17"/>
  <c r="L13" i="17"/>
  <c r="K13" i="17"/>
  <c r="J13" i="17"/>
  <c r="F13" i="17"/>
  <c r="E13" i="17"/>
  <c r="D13" i="17"/>
  <c r="N91" i="17" l="1"/>
  <c r="N86" i="17"/>
  <c r="N30" i="17"/>
  <c r="N82" i="17"/>
  <c r="N85" i="17"/>
  <c r="N80" i="17"/>
  <c r="N67" i="17"/>
  <c r="N64" i="17"/>
  <c r="N62" i="17"/>
  <c r="N48" i="17"/>
  <c r="N43" i="17"/>
  <c r="N35" i="17"/>
  <c r="N33" i="17"/>
  <c r="N26" i="17"/>
  <c r="N25" i="17"/>
  <c r="N19" i="17"/>
  <c r="N13" i="17"/>
  <c r="N15" i="17"/>
  <c r="N28" i="17"/>
  <c r="N32" i="17"/>
  <c r="N34" i="17"/>
  <c r="N39" i="17"/>
  <c r="N57" i="17"/>
  <c r="N63" i="17"/>
  <c r="N17" i="17"/>
  <c r="N21" i="17"/>
  <c r="N41" i="17"/>
  <c r="N23" i="17"/>
  <c r="N37" i="17"/>
  <c r="N47" i="17"/>
  <c r="N54" i="17"/>
  <c r="N71" i="17"/>
  <c r="N36" i="17"/>
  <c r="N45" i="17"/>
  <c r="N49" i="17"/>
  <c r="N50" i="17"/>
  <c r="N52" i="17"/>
  <c r="N60" i="17"/>
  <c r="N95" i="17"/>
  <c r="N81" i="17"/>
  <c r="N65" i="17"/>
  <c r="N70" i="17"/>
  <c r="N93" i="17"/>
  <c r="N66" i="17"/>
  <c r="N69" i="17"/>
  <c r="N75" i="17"/>
  <c r="N77" i="17"/>
  <c r="N78" i="17"/>
  <c r="N84" i="17"/>
  <c r="N88" i="17"/>
  <c r="N22" i="17"/>
  <c r="N55" i="17"/>
  <c r="N14" i="17"/>
  <c r="N29" i="17"/>
  <c r="N18" i="17"/>
  <c r="N44" i="17"/>
  <c r="N16" i="17"/>
  <c r="N20" i="17"/>
  <c r="N24" i="17"/>
  <c r="N27" i="17"/>
  <c r="N31" i="17"/>
  <c r="N38" i="17"/>
  <c r="N40" i="17"/>
  <c r="N59" i="17"/>
  <c r="N42" i="17"/>
  <c r="N51" i="17"/>
  <c r="N61" i="17"/>
  <c r="N46" i="17"/>
  <c r="N53" i="17"/>
  <c r="N56" i="17"/>
  <c r="N79" i="17"/>
  <c r="N76" i="17"/>
  <c r="N74" i="17"/>
  <c r="N87" i="17"/>
  <c r="N58" i="17"/>
  <c r="N68" i="17"/>
  <c r="N83" i="17"/>
  <c r="N72" i="17"/>
  <c r="N89" i="17"/>
  <c r="N94" i="17"/>
  <c r="N73" i="17"/>
  <c r="N90" i="17"/>
  <c r="N92" i="17"/>
  <c r="L12" i="17"/>
  <c r="K12" i="17"/>
  <c r="J12" i="17"/>
  <c r="F12" i="17"/>
  <c r="E12" i="17"/>
  <c r="D12" i="17"/>
  <c r="X36" i="40" l="1"/>
  <c r="W36" i="40"/>
  <c r="V36" i="40"/>
  <c r="U36" i="40"/>
  <c r="T35" i="40"/>
  <c r="S35" i="40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X34" i="40"/>
  <c r="W34" i="40"/>
  <c r="V34" i="40"/>
  <c r="U34" i="40"/>
  <c r="X33" i="40"/>
  <c r="W33" i="40"/>
  <c r="V33" i="40"/>
  <c r="U33" i="40"/>
  <c r="X32" i="40"/>
  <c r="W32" i="40"/>
  <c r="V32" i="40"/>
  <c r="U32" i="40"/>
  <c r="X31" i="40"/>
  <c r="W31" i="40"/>
  <c r="V31" i="40"/>
  <c r="U31" i="40"/>
  <c r="X30" i="40"/>
  <c r="W30" i="40"/>
  <c r="V30" i="40"/>
  <c r="U30" i="40"/>
  <c r="X29" i="40"/>
  <c r="W29" i="40"/>
  <c r="V29" i="40"/>
  <c r="U29" i="40"/>
  <c r="X28" i="40"/>
  <c r="W28" i="40"/>
  <c r="V28" i="40"/>
  <c r="U28" i="40"/>
  <c r="X27" i="40"/>
  <c r="W27" i="40"/>
  <c r="V27" i="40"/>
  <c r="U27" i="40"/>
  <c r="X26" i="40"/>
  <c r="W26" i="40"/>
  <c r="V26" i="40"/>
  <c r="U26" i="40"/>
  <c r="X25" i="40"/>
  <c r="W25" i="40"/>
  <c r="V25" i="40"/>
  <c r="U25" i="40"/>
  <c r="X24" i="40"/>
  <c r="W24" i="40"/>
  <c r="V24" i="40"/>
  <c r="U24" i="40"/>
  <c r="X23" i="40"/>
  <c r="W23" i="40"/>
  <c r="V23" i="40"/>
  <c r="U23" i="40"/>
  <c r="X22" i="40"/>
  <c r="W22" i="40"/>
  <c r="V22" i="40"/>
  <c r="U22" i="40"/>
  <c r="X21" i="40"/>
  <c r="W21" i="40"/>
  <c r="V21" i="40"/>
  <c r="U21" i="40"/>
  <c r="X20" i="40"/>
  <c r="W20" i="40"/>
  <c r="V20" i="40"/>
  <c r="U20" i="40"/>
  <c r="X19" i="40"/>
  <c r="W19" i="40"/>
  <c r="V19" i="40"/>
  <c r="U19" i="40"/>
  <c r="X18" i="40"/>
  <c r="W18" i="40"/>
  <c r="V18" i="40"/>
  <c r="U18" i="40"/>
  <c r="X17" i="40"/>
  <c r="W17" i="40"/>
  <c r="V17" i="40"/>
  <c r="U17" i="40"/>
  <c r="X16" i="40"/>
  <c r="W16" i="40"/>
  <c r="V16" i="40"/>
  <c r="U16" i="40"/>
  <c r="X15" i="40"/>
  <c r="W15" i="40"/>
  <c r="V15" i="40"/>
  <c r="U15" i="40"/>
  <c r="X14" i="40"/>
  <c r="W14" i="40"/>
  <c r="V14" i="40"/>
  <c r="U14" i="40"/>
  <c r="X13" i="40"/>
  <c r="W13" i="40"/>
  <c r="V13" i="40"/>
  <c r="U13" i="40"/>
  <c r="X12" i="40"/>
  <c r="W12" i="40"/>
  <c r="V12" i="40"/>
  <c r="U12" i="40"/>
  <c r="X11" i="40"/>
  <c r="W11" i="40"/>
  <c r="V11" i="40"/>
  <c r="U11" i="40"/>
  <c r="X10" i="40"/>
  <c r="W10" i="40"/>
  <c r="V10" i="40"/>
  <c r="U10" i="40"/>
  <c r="X9" i="40"/>
  <c r="W9" i="40"/>
  <c r="V9" i="40"/>
  <c r="U9" i="40"/>
  <c r="X8" i="40"/>
  <c r="W8" i="40"/>
  <c r="V8" i="40"/>
  <c r="U8" i="40"/>
  <c r="C6" i="40"/>
  <c r="T5" i="40"/>
  <c r="S5" i="40"/>
  <c r="R5" i="40"/>
  <c r="Q5" i="40"/>
  <c r="O5" i="40"/>
  <c r="M5" i="40"/>
  <c r="L5" i="40"/>
  <c r="J5" i="40"/>
  <c r="I5" i="40"/>
  <c r="H5" i="40"/>
  <c r="G5" i="40"/>
  <c r="F5" i="40"/>
  <c r="D5" i="40"/>
  <c r="C5" i="40"/>
  <c r="V34" i="39"/>
  <c r="U34" i="39"/>
  <c r="T34" i="39"/>
  <c r="S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V32" i="39"/>
  <c r="U32" i="39"/>
  <c r="T32" i="39"/>
  <c r="S32" i="39"/>
  <c r="V31" i="39"/>
  <c r="U31" i="39"/>
  <c r="T31" i="39"/>
  <c r="S31" i="39"/>
  <c r="V30" i="39"/>
  <c r="U30" i="39"/>
  <c r="T30" i="39"/>
  <c r="S30" i="39"/>
  <c r="V29" i="39"/>
  <c r="U29" i="39"/>
  <c r="T29" i="39"/>
  <c r="S29" i="39"/>
  <c r="V28" i="39"/>
  <c r="U28" i="39"/>
  <c r="T28" i="39"/>
  <c r="S28" i="39"/>
  <c r="V27" i="39"/>
  <c r="U27" i="39"/>
  <c r="T27" i="39"/>
  <c r="S27" i="39"/>
  <c r="V26" i="39"/>
  <c r="U26" i="39"/>
  <c r="T26" i="39"/>
  <c r="S26" i="39"/>
  <c r="V25" i="39"/>
  <c r="U25" i="39"/>
  <c r="T25" i="39"/>
  <c r="S25" i="39"/>
  <c r="V24" i="39"/>
  <c r="U24" i="39"/>
  <c r="T24" i="39"/>
  <c r="S24" i="39"/>
  <c r="V23" i="39"/>
  <c r="U23" i="39"/>
  <c r="T23" i="39"/>
  <c r="S23" i="39"/>
  <c r="V22" i="39"/>
  <c r="U22" i="39"/>
  <c r="T22" i="39"/>
  <c r="S22" i="39"/>
  <c r="V21" i="39"/>
  <c r="U21" i="39"/>
  <c r="T21" i="39"/>
  <c r="S21" i="39"/>
  <c r="V20" i="39"/>
  <c r="U20" i="39"/>
  <c r="T20" i="39"/>
  <c r="S20" i="39"/>
  <c r="V19" i="39"/>
  <c r="U19" i="39"/>
  <c r="T19" i="39"/>
  <c r="S19" i="39"/>
  <c r="V18" i="39"/>
  <c r="U18" i="39"/>
  <c r="T18" i="39"/>
  <c r="S18" i="39"/>
  <c r="V17" i="39"/>
  <c r="U17" i="39"/>
  <c r="T17" i="39"/>
  <c r="S17" i="39"/>
  <c r="V16" i="39"/>
  <c r="U16" i="39"/>
  <c r="T16" i="39"/>
  <c r="S16" i="39"/>
  <c r="V15" i="39"/>
  <c r="U15" i="39"/>
  <c r="T15" i="39"/>
  <c r="S15" i="39"/>
  <c r="V14" i="39"/>
  <c r="U14" i="39"/>
  <c r="T14" i="39"/>
  <c r="S14" i="39"/>
  <c r="V13" i="39"/>
  <c r="U13" i="39"/>
  <c r="T13" i="39"/>
  <c r="S13" i="39"/>
  <c r="V12" i="39"/>
  <c r="U12" i="39"/>
  <c r="T12" i="39"/>
  <c r="S12" i="39"/>
  <c r="V11" i="39"/>
  <c r="U11" i="39"/>
  <c r="T11" i="39"/>
  <c r="S11" i="39"/>
  <c r="V10" i="39"/>
  <c r="U10" i="39"/>
  <c r="T10" i="39"/>
  <c r="S10" i="39"/>
  <c r="V9" i="39"/>
  <c r="U9" i="39"/>
  <c r="T9" i="39"/>
  <c r="S9" i="39"/>
  <c r="V8" i="39"/>
  <c r="U8" i="39"/>
  <c r="T8" i="39"/>
  <c r="S8" i="39"/>
  <c r="C6" i="39"/>
  <c r="R5" i="39"/>
  <c r="Q5" i="39"/>
  <c r="P5" i="39"/>
  <c r="O5" i="39"/>
  <c r="N5" i="39"/>
  <c r="K5" i="39"/>
  <c r="J5" i="39"/>
  <c r="H5" i="39"/>
  <c r="G5" i="39"/>
  <c r="F5" i="39"/>
  <c r="D5" i="39"/>
  <c r="C5" i="39"/>
  <c r="H8" i="33"/>
  <c r="K7" i="33"/>
  <c r="H7" i="33"/>
  <c r="K6" i="33"/>
  <c r="H6" i="33"/>
  <c r="K5" i="33"/>
  <c r="K3" i="33"/>
  <c r="H3" i="33"/>
  <c r="K2" i="33"/>
  <c r="H2" i="33"/>
  <c r="E48" i="18"/>
  <c r="D48" i="18"/>
  <c r="C48" i="18"/>
  <c r="E47" i="18"/>
  <c r="D47" i="18"/>
  <c r="C47" i="18"/>
  <c r="E46" i="18"/>
  <c r="D46" i="18"/>
  <c r="C46" i="18"/>
  <c r="E45" i="18"/>
  <c r="D45" i="18"/>
  <c r="C45" i="18"/>
  <c r="D44" i="18"/>
  <c r="D49" i="18" s="1"/>
  <c r="D50" i="18" s="1"/>
  <c r="D51" i="18" s="1"/>
  <c r="C44" i="18"/>
  <c r="C49" i="18" s="1"/>
  <c r="AV41" i="18"/>
  <c r="AU41" i="18"/>
  <c r="AT41" i="18"/>
  <c r="AS41" i="18"/>
  <c r="AR41" i="18"/>
  <c r="AQ41" i="18"/>
  <c r="AP41" i="18"/>
  <c r="AO41" i="18"/>
  <c r="AN41" i="18"/>
  <c r="AM41" i="18"/>
  <c r="AL41" i="18"/>
  <c r="AJ41" i="18"/>
  <c r="AI41" i="18"/>
  <c r="AH41" i="18"/>
  <c r="AW41" i="18" s="1"/>
  <c r="R41" i="18"/>
  <c r="AV40" i="18"/>
  <c r="AU40" i="18"/>
  <c r="AT40" i="18"/>
  <c r="AS40" i="18"/>
  <c r="AR40" i="18"/>
  <c r="AP40" i="18"/>
  <c r="AO40" i="18"/>
  <c r="AN40" i="18"/>
  <c r="AM40" i="18"/>
  <c r="AL40" i="18"/>
  <c r="AI40" i="18"/>
  <c r="AH40" i="18"/>
  <c r="R40" i="18"/>
  <c r="AV39" i="18"/>
  <c r="AU39" i="18"/>
  <c r="AT39" i="18"/>
  <c r="AS39" i="18"/>
  <c r="AR39" i="18"/>
  <c r="AP39" i="18"/>
  <c r="AO39" i="18"/>
  <c r="AN39" i="18"/>
  <c r="AM39" i="18"/>
  <c r="AL39" i="18"/>
  <c r="AQ39" i="18" s="1"/>
  <c r="AI39" i="18"/>
  <c r="AH39" i="18"/>
  <c r="R39" i="18"/>
  <c r="AV38" i="18"/>
  <c r="AU38" i="18"/>
  <c r="AT38" i="18"/>
  <c r="AS38" i="18"/>
  <c r="AR38" i="18"/>
  <c r="AP38" i="18"/>
  <c r="AO38" i="18"/>
  <c r="AN38" i="18"/>
  <c r="AM38" i="18"/>
  <c r="AL38" i="18"/>
  <c r="AI38" i="18"/>
  <c r="AH38" i="18"/>
  <c r="R38" i="18"/>
  <c r="AV37" i="18"/>
  <c r="AU37" i="18"/>
  <c r="AT37" i="18"/>
  <c r="AS37" i="18"/>
  <c r="AR37" i="18"/>
  <c r="AP37" i="18"/>
  <c r="AO37" i="18"/>
  <c r="AN37" i="18"/>
  <c r="AM37" i="18"/>
  <c r="AL37" i="18"/>
  <c r="AI37" i="18"/>
  <c r="AH37" i="18"/>
  <c r="R37" i="18"/>
  <c r="AV36" i="18"/>
  <c r="AU36" i="18"/>
  <c r="AT36" i="18"/>
  <c r="AS36" i="18"/>
  <c r="AR36" i="18"/>
  <c r="AP36" i="18"/>
  <c r="AO36" i="18"/>
  <c r="AN36" i="18"/>
  <c r="AM36" i="18"/>
  <c r="AL36" i="18"/>
  <c r="AI36" i="18"/>
  <c r="AH36" i="18"/>
  <c r="R36" i="18"/>
  <c r="AV35" i="18"/>
  <c r="AU35" i="18"/>
  <c r="AT35" i="18"/>
  <c r="AS35" i="18"/>
  <c r="AR35" i="18"/>
  <c r="AP35" i="18"/>
  <c r="AO35" i="18"/>
  <c r="AN35" i="18"/>
  <c r="AM35" i="18"/>
  <c r="AL35" i="18"/>
  <c r="AI35" i="18"/>
  <c r="AH35" i="18"/>
  <c r="R35" i="18"/>
  <c r="AV34" i="18"/>
  <c r="AU34" i="18"/>
  <c r="AT34" i="18"/>
  <c r="AS34" i="18"/>
  <c r="AR34" i="18"/>
  <c r="AP34" i="18"/>
  <c r="AO34" i="18"/>
  <c r="AN34" i="18"/>
  <c r="AM34" i="18"/>
  <c r="AL34" i="18"/>
  <c r="AI34" i="18"/>
  <c r="AH34" i="18"/>
  <c r="AW34" i="18" s="1"/>
  <c r="R34" i="18"/>
  <c r="AQ34" i="18" s="1"/>
  <c r="AV33" i="18"/>
  <c r="AU33" i="18"/>
  <c r="AT33" i="18"/>
  <c r="AS33" i="18"/>
  <c r="AR33" i="18"/>
  <c r="AP33" i="18"/>
  <c r="AO33" i="18"/>
  <c r="AN33" i="18"/>
  <c r="AM33" i="18"/>
  <c r="AL33" i="18"/>
  <c r="AI33" i="18"/>
  <c r="AH33" i="18"/>
  <c r="AW33" i="18" s="1"/>
  <c r="R33" i="18"/>
  <c r="AQ33" i="18" s="1"/>
  <c r="AV32" i="18"/>
  <c r="AU32" i="18"/>
  <c r="AT32" i="18"/>
  <c r="AS32" i="18"/>
  <c r="AR32" i="18"/>
  <c r="AP32" i="18"/>
  <c r="AO32" i="18"/>
  <c r="AN32" i="18"/>
  <c r="AM32" i="18"/>
  <c r="AL32" i="18"/>
  <c r="AJ32" i="18"/>
  <c r="AI32" i="18"/>
  <c r="AH32" i="18"/>
  <c r="AW32" i="18" s="1"/>
  <c r="R32" i="18"/>
  <c r="AQ32" i="18" s="1"/>
  <c r="AV31" i="18"/>
  <c r="AU31" i="18"/>
  <c r="AT31" i="18"/>
  <c r="AS31" i="18"/>
  <c r="AR31" i="18"/>
  <c r="AP31" i="18"/>
  <c r="AO31" i="18"/>
  <c r="AN31" i="18"/>
  <c r="AM31" i="18"/>
  <c r="AL31" i="18"/>
  <c r="AI31" i="18"/>
  <c r="AH31" i="18"/>
  <c r="AW31" i="18" s="1"/>
  <c r="R31" i="18"/>
  <c r="AQ31" i="18" s="1"/>
  <c r="AV30" i="18"/>
  <c r="AU30" i="18"/>
  <c r="AT30" i="18"/>
  <c r="AS30" i="18"/>
  <c r="AR30" i="18"/>
  <c r="AP30" i="18"/>
  <c r="AO30" i="18"/>
  <c r="AN30" i="18"/>
  <c r="AM30" i="18"/>
  <c r="AL30" i="18"/>
  <c r="AI30" i="18"/>
  <c r="AH30" i="18"/>
  <c r="AW30" i="18" s="1"/>
  <c r="R30" i="18"/>
  <c r="AQ30" i="18" s="1"/>
  <c r="AV29" i="18"/>
  <c r="AU29" i="18"/>
  <c r="AT29" i="18"/>
  <c r="AS29" i="18"/>
  <c r="AR29" i="18"/>
  <c r="AP29" i="18"/>
  <c r="AO29" i="18"/>
  <c r="AN29" i="18"/>
  <c r="AM29" i="18"/>
  <c r="AL29" i="18"/>
  <c r="AJ29" i="18"/>
  <c r="AI29" i="18"/>
  <c r="AH29" i="18"/>
  <c r="AW29" i="18" s="1"/>
  <c r="R29" i="18"/>
  <c r="AQ29" i="18" s="1"/>
  <c r="AV28" i="18"/>
  <c r="AU28" i="18"/>
  <c r="AT28" i="18"/>
  <c r="AS28" i="18"/>
  <c r="AR28" i="18"/>
  <c r="AP28" i="18"/>
  <c r="AO28" i="18"/>
  <c r="AN28" i="18"/>
  <c r="AM28" i="18"/>
  <c r="AL28" i="18"/>
  <c r="AI28" i="18"/>
  <c r="AH28" i="18"/>
  <c r="AW28" i="18" s="1"/>
  <c r="R28" i="18"/>
  <c r="AQ28" i="18" s="1"/>
  <c r="AV27" i="18"/>
  <c r="AU27" i="18"/>
  <c r="AT27" i="18"/>
  <c r="AS27" i="18"/>
  <c r="AR27" i="18"/>
  <c r="AP27" i="18"/>
  <c r="AO27" i="18"/>
  <c r="AN27" i="18"/>
  <c r="AM27" i="18"/>
  <c r="AL27" i="18"/>
  <c r="AI27" i="18"/>
  <c r="AH27" i="18"/>
  <c r="AW27" i="18" s="1"/>
  <c r="R27" i="18"/>
  <c r="AQ27" i="18" s="1"/>
  <c r="AW26" i="18"/>
  <c r="AV26" i="18"/>
  <c r="AU26" i="18"/>
  <c r="AT26" i="18"/>
  <c r="AS26" i="18"/>
  <c r="AR26" i="18"/>
  <c r="AP26" i="18"/>
  <c r="AO26" i="18"/>
  <c r="AN26" i="18"/>
  <c r="AM26" i="18"/>
  <c r="AL26" i="18"/>
  <c r="AJ26" i="18"/>
  <c r="AI26" i="18"/>
  <c r="AH26" i="18"/>
  <c r="R26" i="18"/>
  <c r="AQ26" i="18" s="1"/>
  <c r="AV25" i="18"/>
  <c r="AU25" i="18"/>
  <c r="AT25" i="18"/>
  <c r="AS25" i="18"/>
  <c r="AR25" i="18"/>
  <c r="AP25" i="18"/>
  <c r="AO25" i="18"/>
  <c r="AN25" i="18"/>
  <c r="AM25" i="18"/>
  <c r="AL25" i="18"/>
  <c r="AI25" i="18"/>
  <c r="AH25" i="18"/>
  <c r="AW25" i="18" s="1"/>
  <c r="R25" i="18"/>
  <c r="AQ25" i="18" s="1"/>
  <c r="AV24" i="18"/>
  <c r="AU24" i="18"/>
  <c r="AT24" i="18"/>
  <c r="AS24" i="18"/>
  <c r="AR24" i="18"/>
  <c r="AP24" i="18"/>
  <c r="AO24" i="18"/>
  <c r="AN24" i="18"/>
  <c r="AM24" i="18"/>
  <c r="AL24" i="18"/>
  <c r="AI24" i="18"/>
  <c r="AH24" i="18"/>
  <c r="AW24" i="18" s="1"/>
  <c r="R24" i="18"/>
  <c r="AQ24" i="18" s="1"/>
  <c r="AV23" i="18"/>
  <c r="AU23" i="18"/>
  <c r="AT23" i="18"/>
  <c r="AS23" i="18"/>
  <c r="AR23" i="18"/>
  <c r="AP23" i="18"/>
  <c r="AO23" i="18"/>
  <c r="AN23" i="18"/>
  <c r="AM23" i="18"/>
  <c r="AQ23" i="18" s="1"/>
  <c r="AL23" i="18"/>
  <c r="AJ23" i="18"/>
  <c r="AI23" i="18"/>
  <c r="AH23" i="18"/>
  <c r="AW23" i="18" s="1"/>
  <c r="R23" i="18"/>
  <c r="AV22" i="18"/>
  <c r="AU22" i="18"/>
  <c r="AT22" i="18"/>
  <c r="AS22" i="18"/>
  <c r="AR22" i="18"/>
  <c r="AP22" i="18"/>
  <c r="AO22" i="18"/>
  <c r="AN22" i="18"/>
  <c r="AM22" i="18"/>
  <c r="AL22" i="18"/>
  <c r="AI22" i="18"/>
  <c r="AH22" i="18"/>
  <c r="R22" i="18"/>
  <c r="AV21" i="18"/>
  <c r="AU21" i="18"/>
  <c r="AT21" i="18"/>
  <c r="AS21" i="18"/>
  <c r="AR21" i="18"/>
  <c r="AP21" i="18"/>
  <c r="AO21" i="18"/>
  <c r="AN21" i="18"/>
  <c r="AM21" i="18"/>
  <c r="AL21" i="18"/>
  <c r="AI21" i="18"/>
  <c r="AH21" i="18"/>
  <c r="R21" i="18"/>
  <c r="AV20" i="18"/>
  <c r="AU20" i="18"/>
  <c r="AT20" i="18"/>
  <c r="AS20" i="18"/>
  <c r="AR20" i="18"/>
  <c r="AP20" i="18"/>
  <c r="AO20" i="18"/>
  <c r="AN20" i="18"/>
  <c r="AM20" i="18"/>
  <c r="AL20" i="18"/>
  <c r="AI20" i="18"/>
  <c r="AH20" i="18"/>
  <c r="R20" i="18"/>
  <c r="AV19" i="18"/>
  <c r="AU19" i="18"/>
  <c r="AT19" i="18"/>
  <c r="AS19" i="18"/>
  <c r="AR19" i="18"/>
  <c r="AP19" i="18"/>
  <c r="AO19" i="18"/>
  <c r="AN19" i="18"/>
  <c r="AM19" i="18"/>
  <c r="AL19" i="18"/>
  <c r="AI19" i="18"/>
  <c r="AH19" i="18"/>
  <c r="R19" i="18"/>
  <c r="AV18" i="18"/>
  <c r="AU18" i="18"/>
  <c r="AT18" i="18"/>
  <c r="AS18" i="18"/>
  <c r="AR18" i="18"/>
  <c r="AP18" i="18"/>
  <c r="AO18" i="18"/>
  <c r="AN18" i="18"/>
  <c r="AM18" i="18"/>
  <c r="AL18" i="18"/>
  <c r="AI18" i="18"/>
  <c r="AH18" i="18"/>
  <c r="R18" i="18"/>
  <c r="AV17" i="18"/>
  <c r="AU17" i="18"/>
  <c r="AT17" i="18"/>
  <c r="AS17" i="18"/>
  <c r="AR17" i="18"/>
  <c r="AP17" i="18"/>
  <c r="AO17" i="18"/>
  <c r="AN17" i="18"/>
  <c r="AM17" i="18"/>
  <c r="AL17" i="18"/>
  <c r="AI17" i="18"/>
  <c r="AH17" i="18"/>
  <c r="R17" i="18"/>
  <c r="AV16" i="18"/>
  <c r="AU16" i="18"/>
  <c r="AT16" i="18"/>
  <c r="AS16" i="18"/>
  <c r="AR16" i="18"/>
  <c r="AP16" i="18"/>
  <c r="AO16" i="18"/>
  <c r="AN16" i="18"/>
  <c r="AM16" i="18"/>
  <c r="AL16" i="18"/>
  <c r="AI16" i="18"/>
  <c r="AH16" i="18"/>
  <c r="R16" i="18"/>
  <c r="AV15" i="18"/>
  <c r="AU15" i="18"/>
  <c r="AT15" i="18"/>
  <c r="AS15" i="18"/>
  <c r="AW15" i="18" s="1"/>
  <c r="AR15" i="18"/>
  <c r="AP15" i="18"/>
  <c r="AO15" i="18"/>
  <c r="AN15" i="18"/>
  <c r="AM15" i="18"/>
  <c r="AQ15" i="18" s="1"/>
  <c r="AL15" i="18"/>
  <c r="AI15" i="18"/>
  <c r="AH15" i="18"/>
  <c r="R15" i="18"/>
  <c r="AV14" i="18"/>
  <c r="AU14" i="18"/>
  <c r="AT14" i="18"/>
  <c r="AS14" i="18"/>
  <c r="AR14" i="18"/>
  <c r="AP14" i="18"/>
  <c r="AO14" i="18"/>
  <c r="AN14" i="18"/>
  <c r="AM14" i="18"/>
  <c r="AL14" i="18"/>
  <c r="AI14" i="18"/>
  <c r="AJ14" i="18" s="1"/>
  <c r="AH14" i="18"/>
  <c r="R14" i="18"/>
  <c r="AV13" i="18"/>
  <c r="AU13" i="18"/>
  <c r="AT13" i="18"/>
  <c r="AS13" i="18"/>
  <c r="AR13" i="18"/>
  <c r="AP13" i="18"/>
  <c r="AO13" i="18"/>
  <c r="AN13" i="18"/>
  <c r="AM13" i="18"/>
  <c r="AL13" i="18"/>
  <c r="AI13" i="18"/>
  <c r="AH13" i="18"/>
  <c r="R13" i="18"/>
  <c r="AV12" i="18"/>
  <c r="AU12" i="18"/>
  <c r="AT12" i="18"/>
  <c r="AS12" i="18"/>
  <c r="AR12" i="18"/>
  <c r="AP12" i="18"/>
  <c r="AO12" i="18"/>
  <c r="AN12" i="18"/>
  <c r="AM12" i="18"/>
  <c r="AL12" i="18"/>
  <c r="AI12" i="18"/>
  <c r="AH12" i="18"/>
  <c r="R12" i="18"/>
  <c r="AV11" i="18"/>
  <c r="AU11" i="18"/>
  <c r="AT11" i="18"/>
  <c r="AS11" i="18"/>
  <c r="AR11" i="18"/>
  <c r="AP11" i="18"/>
  <c r="AO11" i="18"/>
  <c r="AN11" i="18"/>
  <c r="AM11" i="18"/>
  <c r="AL11" i="18"/>
  <c r="AI11" i="18"/>
  <c r="AH11" i="18"/>
  <c r="R11" i="18"/>
  <c r="AV10" i="18"/>
  <c r="AU10" i="18"/>
  <c r="AT10" i="18"/>
  <c r="AS10" i="18"/>
  <c r="AR10" i="18"/>
  <c r="AP10" i="18"/>
  <c r="AO10" i="18"/>
  <c r="AN10" i="18"/>
  <c r="AM10" i="18"/>
  <c r="AL10" i="18"/>
  <c r="AI10" i="18"/>
  <c r="AH10" i="18"/>
  <c r="R10" i="18"/>
  <c r="AV9" i="18"/>
  <c r="AU9" i="18"/>
  <c r="AT9" i="18"/>
  <c r="AS9" i="18"/>
  <c r="AR9" i="18"/>
  <c r="AP9" i="18"/>
  <c r="AO9" i="18"/>
  <c r="AN9" i="18"/>
  <c r="AM9" i="18"/>
  <c r="AL9" i="18"/>
  <c r="AI9" i="18"/>
  <c r="AH9" i="18"/>
  <c r="R9" i="18"/>
  <c r="AV8" i="18"/>
  <c r="AU8" i="18"/>
  <c r="AT8" i="18"/>
  <c r="AS8" i="18"/>
  <c r="AR8" i="18"/>
  <c r="AP8" i="18"/>
  <c r="AO8" i="18"/>
  <c r="AN8" i="18"/>
  <c r="AM8" i="18"/>
  <c r="AL8" i="18"/>
  <c r="AI8" i="18"/>
  <c r="AH8" i="18"/>
  <c r="R8" i="18"/>
  <c r="AN12" i="17"/>
  <c r="Q12" i="17"/>
  <c r="AL12" i="17"/>
  <c r="AI12" i="17"/>
  <c r="Y12" i="17" s="1"/>
  <c r="AY12" i="17"/>
  <c r="AO12" i="17" s="1"/>
  <c r="BF12" i="17" l="1"/>
  <c r="H45" i="18"/>
  <c r="G45" i="18"/>
  <c r="AW40" i="18"/>
  <c r="AW39" i="18"/>
  <c r="AJ38" i="18"/>
  <c r="AW38" i="18"/>
  <c r="AW37" i="18"/>
  <c r="AW36" i="18"/>
  <c r="AJ35" i="18"/>
  <c r="AW35" i="18"/>
  <c r="AW22" i="18"/>
  <c r="AW21" i="18"/>
  <c r="AJ20" i="18"/>
  <c r="AW20" i="18"/>
  <c r="AW19" i="18"/>
  <c r="AW18" i="18"/>
  <c r="AJ17" i="18"/>
  <c r="AW17" i="18"/>
  <c r="AW16" i="18"/>
  <c r="AW14" i="18"/>
  <c r="AW13" i="18"/>
  <c r="AW12" i="18"/>
  <c r="AJ11" i="18"/>
  <c r="AW11" i="18"/>
  <c r="AW10" i="18"/>
  <c r="H44" i="18"/>
  <c r="AW9" i="18"/>
  <c r="AJ8" i="18"/>
  <c r="AW8" i="18"/>
  <c r="AQ40" i="18"/>
  <c r="AQ38" i="18"/>
  <c r="AQ37" i="18"/>
  <c r="AQ36" i="18"/>
  <c r="AQ35" i="18"/>
  <c r="AQ22" i="18"/>
  <c r="AQ21" i="18"/>
  <c r="AQ20" i="18"/>
  <c r="AQ19" i="18"/>
  <c r="AQ18" i="18"/>
  <c r="AQ17" i="18"/>
  <c r="AQ16" i="18"/>
  <c r="AQ14" i="18"/>
  <c r="AQ13" i="18"/>
  <c r="AQ12" i="18"/>
  <c r="E44" i="18"/>
  <c r="AQ11" i="18"/>
  <c r="AQ10" i="18"/>
  <c r="AQ9" i="18"/>
  <c r="C50" i="18"/>
  <c r="E49" i="18"/>
  <c r="G44" i="18"/>
  <c r="AQ8" i="18"/>
  <c r="AK12" i="17"/>
  <c r="X12" i="17"/>
  <c r="AC12" i="17" s="1"/>
  <c r="BJ12" i="17" s="1"/>
  <c r="T12" i="17"/>
  <c r="S12" i="17"/>
  <c r="W12" i="17"/>
  <c r="AB12" i="17" s="1"/>
  <c r="BI12" i="17" s="1"/>
  <c r="AM12" i="17"/>
  <c r="U12" i="17"/>
  <c r="Z12" i="17" s="1"/>
  <c r="P12" i="17"/>
  <c r="O12" i="17"/>
  <c r="N12" i="17"/>
  <c r="V12" i="17"/>
  <c r="AA12" i="17" s="1"/>
  <c r="R12" i="17"/>
  <c r="E50" i="18" l="1"/>
  <c r="C51" i="18"/>
  <c r="E51" i="18" s="1"/>
  <c r="AR12" i="17"/>
  <c r="BN12" i="17" s="1"/>
  <c r="AS12" i="17"/>
  <c r="BO12" i="17" s="1"/>
  <c r="AQ12" i="17"/>
  <c r="AP12" i="17"/>
  <c r="BH12" i="17"/>
  <c r="BC12" i="17"/>
  <c r="BD12" i="17" l="1"/>
  <c r="BM12" i="17"/>
</calcChain>
</file>

<file path=xl/sharedStrings.xml><?xml version="1.0" encoding="utf-8"?>
<sst xmlns="http://schemas.openxmlformats.org/spreadsheetml/2006/main" count="1041" uniqueCount="402">
  <si>
    <t>Module</t>
  </si>
  <si>
    <t>Total</t>
  </si>
  <si>
    <t>LT</t>
  </si>
  <si>
    <t>DIT</t>
  </si>
  <si>
    <t>Course</t>
  </si>
  <si>
    <t>Y1</t>
  </si>
  <si>
    <t>Y2</t>
  </si>
  <si>
    <t>Y3</t>
  </si>
  <si>
    <t>NMA</t>
  </si>
  <si>
    <t>Tut</t>
  </si>
  <si>
    <t>Lab</t>
  </si>
  <si>
    <t>No. of classes</t>
  </si>
  <si>
    <t>No. of hrs/sem</t>
  </si>
  <si>
    <t>Curriculum hrs/sem</t>
  </si>
  <si>
    <t>Pract</t>
  </si>
  <si>
    <t>Lect</t>
  </si>
  <si>
    <t>CR</t>
  </si>
  <si>
    <t>DBIT</t>
  </si>
  <si>
    <t>Curriculum hrs/week</t>
  </si>
  <si>
    <t>Div</t>
  </si>
  <si>
    <t>LC</t>
  </si>
  <si>
    <t>MS</t>
  </si>
  <si>
    <t>Tot</t>
  </si>
  <si>
    <t>OS</t>
  </si>
  <si>
    <t>DICT</t>
  </si>
  <si>
    <t>R</t>
  </si>
  <si>
    <t>T</t>
  </si>
  <si>
    <t>L</t>
  </si>
  <si>
    <t>P</t>
  </si>
  <si>
    <t>J</t>
  </si>
  <si>
    <t>1A</t>
  </si>
  <si>
    <t>1B</t>
  </si>
  <si>
    <t>INTS</t>
  </si>
  <si>
    <t>2A</t>
  </si>
  <si>
    <t>2B</t>
  </si>
  <si>
    <t>3A</t>
  </si>
  <si>
    <t>3B</t>
  </si>
  <si>
    <t>DMAT</t>
  </si>
  <si>
    <t>VAF</t>
  </si>
  <si>
    <t>DGDD</t>
  </si>
  <si>
    <t>DISM</t>
  </si>
  <si>
    <t>F</t>
  </si>
  <si>
    <t>DLT</t>
  </si>
  <si>
    <t>Module
Code</t>
  </si>
  <si>
    <t>GEMs</t>
  </si>
  <si>
    <t>COMF</t>
  </si>
  <si>
    <t>ST2602</t>
  </si>
  <si>
    <t>PICL</t>
  </si>
  <si>
    <t>ST2606</t>
  </si>
  <si>
    <t>DFI</t>
  </si>
  <si>
    <t>S2</t>
  </si>
  <si>
    <t>S1</t>
  </si>
  <si>
    <t>MS1381</t>
  </si>
  <si>
    <t>ST2510</t>
  </si>
  <si>
    <t>IS1</t>
  </si>
  <si>
    <t>AJP</t>
  </si>
  <si>
    <t>ST0316</t>
  </si>
  <si>
    <t>DMIT</t>
  </si>
  <si>
    <t>SB</t>
  </si>
  <si>
    <t>Remarks</t>
  </si>
  <si>
    <t>MFB</t>
  </si>
  <si>
    <t>Sect</t>
  </si>
  <si>
    <t>ST2608</t>
  </si>
  <si>
    <t>IS2</t>
  </si>
  <si>
    <t>ST2615</t>
  </si>
  <si>
    <t>ST0271</t>
  </si>
  <si>
    <t>DVEMG</t>
  </si>
  <si>
    <t>ST6203</t>
  </si>
  <si>
    <t>DDA</t>
  </si>
  <si>
    <t>Difference</t>
  </si>
  <si>
    <t>Total hrs by DDs</t>
  </si>
  <si>
    <t>Total hrs for Lecturers</t>
  </si>
  <si>
    <t>No. of Lecturers</t>
  </si>
  <si>
    <t>Avg</t>
  </si>
  <si>
    <t>Headcount</t>
  </si>
  <si>
    <t>Total hrs/wk</t>
  </si>
  <si>
    <t>DVMD</t>
  </si>
  <si>
    <t>Total hrs by Mgrs</t>
  </si>
  <si>
    <t>MPOG</t>
  </si>
  <si>
    <t>ST0317</t>
  </si>
  <si>
    <t>DBIT 3A</t>
  </si>
  <si>
    <t>No. of
Classes</t>
  </si>
  <si>
    <t>No. of in-sync</t>
  </si>
  <si>
    <t>No. of out-of-sync</t>
  </si>
  <si>
    <t>Semester</t>
  </si>
  <si>
    <t>Total places offered</t>
  </si>
  <si>
    <t>DISM 2</t>
  </si>
  <si>
    <t>DISM 3</t>
  </si>
  <si>
    <t>DIT GD 2</t>
  </si>
  <si>
    <t>S</t>
  </si>
  <si>
    <t>1S2</t>
  </si>
  <si>
    <t>2S1</t>
  </si>
  <si>
    <t>2S2</t>
  </si>
  <si>
    <t>Stage</t>
  </si>
  <si>
    <t>DIxM</t>
  </si>
  <si>
    <t>CSGD</t>
  </si>
  <si>
    <t>DSAL</t>
  </si>
  <si>
    <t>HOTM</t>
  </si>
  <si>
    <t>AIS</t>
  </si>
  <si>
    <t>Type</t>
  </si>
  <si>
    <t>ST0278</t>
  </si>
  <si>
    <t>DIT SD 2</t>
  </si>
  <si>
    <t>CSC</t>
  </si>
  <si>
    <t>ST0280</t>
  </si>
  <si>
    <t>Steps to check number of classes:</t>
  </si>
  <si>
    <t>BA</t>
  </si>
  <si>
    <t>SDT</t>
  </si>
  <si>
    <t>IT</t>
  </si>
  <si>
    <t>ST0293</t>
  </si>
  <si>
    <t>ST0295</t>
  </si>
  <si>
    <t>ST2501</t>
  </si>
  <si>
    <t>ST0272</t>
  </si>
  <si>
    <t>ST0291</t>
  </si>
  <si>
    <t>ST0292</t>
  </si>
  <si>
    <t>ST2219</t>
  </si>
  <si>
    <t>BA0217</t>
  </si>
  <si>
    <t>C</t>
  </si>
  <si>
    <t>ST0288</t>
  </si>
  <si>
    <t>UID</t>
  </si>
  <si>
    <t>NETS</t>
  </si>
  <si>
    <t>CRM</t>
  </si>
  <si>
    <t>EAD</t>
  </si>
  <si>
    <t>ST2616</t>
  </si>
  <si>
    <t>MFI</t>
  </si>
  <si>
    <t>ST0296</t>
  </si>
  <si>
    <t>ST0294</t>
  </si>
  <si>
    <t>GEO</t>
  </si>
  <si>
    <t>Total hrs by Tech Track</t>
  </si>
  <si>
    <t>Total hrs by Acad Mentors</t>
  </si>
  <si>
    <t>ENBP</t>
  </si>
  <si>
    <t>WEBS</t>
  </si>
  <si>
    <t>FUNE</t>
  </si>
  <si>
    <t>WPRG</t>
  </si>
  <si>
    <t>Student No.</t>
  </si>
  <si>
    <t>4. Copy module code, stage and type from the course structures in Q:drive.</t>
  </si>
  <si>
    <t>Steps to complete the worksheet:</t>
  </si>
  <si>
    <t>6. Insert formulas (use absolute addresses) to compute the number of students taking electives (from Electives worksheet).</t>
  </si>
  <si>
    <t>ST2223</t>
  </si>
  <si>
    <t>ST2227</t>
  </si>
  <si>
    <t>ST2508</t>
  </si>
  <si>
    <t>ST6235</t>
  </si>
  <si>
    <t>ST6226</t>
  </si>
  <si>
    <t>ST6227</t>
  </si>
  <si>
    <t>ST6313</t>
  </si>
  <si>
    <t>ST6229</t>
  </si>
  <si>
    <t>ST6236</t>
  </si>
  <si>
    <t>ST6237</t>
  </si>
  <si>
    <t>ST6228</t>
  </si>
  <si>
    <t>ST2618</t>
  </si>
  <si>
    <t>ST2617</t>
  </si>
  <si>
    <t>BPL</t>
  </si>
  <si>
    <t>CMS</t>
  </si>
  <si>
    <t>DLR</t>
  </si>
  <si>
    <t>D2DA</t>
  </si>
  <si>
    <t>DCMS</t>
  </si>
  <si>
    <t>EPM</t>
  </si>
  <si>
    <t>3DCA</t>
  </si>
  <si>
    <t>OSCM</t>
  </si>
  <si>
    <t>SMIR</t>
  </si>
  <si>
    <t>MRE</t>
  </si>
  <si>
    <t>Student No</t>
  </si>
  <si>
    <t>A</t>
  </si>
  <si>
    <t>2. Clear appropriate columns.</t>
  </si>
  <si>
    <t>3. Copy formulas in appropriate columns.</t>
  </si>
  <si>
    <t>9. Check the number of classes as below.</t>
  </si>
  <si>
    <t>Macros</t>
  </si>
  <si>
    <t>ClearColumns()</t>
  </si>
  <si>
    <t>CopyFormulas()</t>
  </si>
  <si>
    <t>CourseStrutures()</t>
  </si>
  <si>
    <t>8. Add the number of out-of-sync students taking each module.</t>
  </si>
  <si>
    <t>CopyElectives() &amp; ElectiveNumbers()</t>
  </si>
  <si>
    <t>10. Update formulas in column BF for upload of data to Teaching Assignment System.</t>
  </si>
  <si>
    <t>Number of Students for Electives - AY 15/16</t>
  </si>
  <si>
    <t>Teaching Hours/Week for AY 15/16 (by course)</t>
  </si>
  <si>
    <t>2. Check number of students for modules with the same code - to combine classes.</t>
  </si>
  <si>
    <t>DIT SD</t>
  </si>
  <si>
    <t>DIT GD</t>
  </si>
  <si>
    <t>OSS</t>
  </si>
  <si>
    <t>14 Y2 OSS - by natural progression, 11 will forward 3A modules and 2 will forward 3B modules (1 does not have capacity to forward Y3 modules).</t>
  </si>
  <si>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>DIT</t>
    </r>
  </si>
  <si>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DBIT</t>
    </r>
  </si>
  <si>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DDA</t>
    </r>
  </si>
  <si>
    <r>
      <t>4+7</t>
    </r>
    <r>
      <rPr>
        <vertAlign val="superscript"/>
        <sz val="10"/>
        <rFont val="Arial"/>
        <family val="2"/>
      </rPr>
      <t>2</t>
    </r>
  </si>
  <si>
    <r>
      <t>2+6</t>
    </r>
    <r>
      <rPr>
        <vertAlign val="superscript"/>
        <sz val="10"/>
        <rFont val="Arial"/>
        <family val="2"/>
      </rPr>
      <t>2</t>
    </r>
  </si>
  <si>
    <t>6 Y2 OSS - 2 taking G1 PE modules and 3 taking G2 PE modules (1 not sure which group of PE modules he will taking).</t>
  </si>
  <si>
    <r>
      <t>8+6</t>
    </r>
    <r>
      <rPr>
        <vertAlign val="superscript"/>
        <sz val="10"/>
        <rFont val="Arial"/>
        <family val="2"/>
      </rPr>
      <t>3</t>
    </r>
  </si>
  <si>
    <t>Problem 1:  The course structure has changed so much, many of the outstanding modules are not offered anymore.  What is the plan of the CMT for these students?</t>
  </si>
  <si>
    <t>Proposal:  Of the 11 forwarding 3A modules, get 4 of them to forward 3B modules instead.</t>
  </si>
  <si>
    <t>Problem 2:  If they all forward 3A modules, there will be between 33 to 40 students (plus Y3 OSS) in the 3A classes.  What is the max capacity of the Y3 studio?</t>
  </si>
  <si>
    <t>14 Y2 OSS - by natural progression, 7 will forward 3A modules and 7 will forward 3B modules.</t>
  </si>
  <si>
    <r>
      <t>2+14</t>
    </r>
    <r>
      <rPr>
        <vertAlign val="superscript"/>
        <sz val="10"/>
        <rFont val="Arial"/>
        <family val="2"/>
      </rPr>
      <t>1</t>
    </r>
  </si>
  <si>
    <t>ST6214</t>
  </si>
  <si>
    <t>ST6225</t>
  </si>
  <si>
    <t>MTR</t>
  </si>
  <si>
    <t>ST6311</t>
  </si>
  <si>
    <t>CNL</t>
  </si>
  <si>
    <t>OSS to be registered for ST6225 (old) but join classes for ST6235 (new)</t>
  </si>
  <si>
    <t>OSS to be registered for ST6214 (old) but join classes for ST6226 (new)</t>
  </si>
  <si>
    <t>ST6220</t>
  </si>
  <si>
    <t>ANS1</t>
  </si>
  <si>
    <t>ANS2</t>
  </si>
  <si>
    <t>ST6311 (old) to be made equivalent to ST6313 (new) - OSS to be registered for ST6313 (new)</t>
  </si>
  <si>
    <t>ST6220 (old) to be made equivalent to ST6229 (new) - OSS to be registered for ST6229 (new)</t>
  </si>
  <si>
    <t>ST6217</t>
  </si>
  <si>
    <t>OSS to be registerd for ST6217 (old) but join classes for ST6227 (new)</t>
  </si>
  <si>
    <t>ST6218</t>
  </si>
  <si>
    <t>OSS to be registerd for ST6218 (old) but join classes for ST6228 (new)</t>
  </si>
  <si>
    <t>ST6251</t>
  </si>
  <si>
    <t>A3DM</t>
  </si>
  <si>
    <t>OSS to be registered for ST6251 (old) but join classes for ST6236 (new)</t>
  </si>
  <si>
    <t>ST6252</t>
  </si>
  <si>
    <t>ADRG</t>
  </si>
  <si>
    <t>ST6252 (old) to be replaced by ST6237 (new) - OSS to be registerd for ST6237 (new) with his path changed.</t>
  </si>
  <si>
    <t>2013 Cohort</t>
  </si>
  <si>
    <t>Code</t>
  </si>
  <si>
    <t>CU</t>
  </si>
  <si>
    <t>Plan for 2013 OSS</t>
  </si>
  <si>
    <t>2014 Cohort</t>
  </si>
  <si>
    <t>Sem</t>
  </si>
  <si>
    <t>1 or 2?</t>
  </si>
  <si>
    <t>Use CoreNumbers() whenever it is necessary to update the number of students for core modules.</t>
  </si>
  <si>
    <t>Use ElectiveNumbers() whenever it is necessary to update the number of students for elective modules.</t>
  </si>
  <si>
    <t>1. Check mass lectures for SDT, ELAW.</t>
  </si>
  <si>
    <t>May have to talk to CAs and/or CMTs.</t>
  </si>
  <si>
    <t>3. Check number of classes for modules with very small number of students.</t>
  </si>
  <si>
    <t>WEBF</t>
  </si>
  <si>
    <t>NSCSM</t>
  </si>
  <si>
    <t>ISNE</t>
  </si>
  <si>
    <t>CDRE</t>
  </si>
  <si>
    <t>SPIM</t>
  </si>
  <si>
    <t>DIT GD 3</t>
  </si>
  <si>
    <t>DIT SD 3</t>
  </si>
  <si>
    <t>This spreadsheet needs rework. DIT SD2A and DIT SD2B reference in 'Elective number' worksheet is not consistent -&gt; DIT FE are sequential? Or stage?</t>
  </si>
  <si>
    <t>DIT SD -&gt; use 2B column</t>
  </si>
  <si>
    <t>Filenames in Q Drive</t>
  </si>
  <si>
    <t>Check filenames and worksheet tab names before running the macro. Files need to be opened before running the macro.</t>
  </si>
  <si>
    <t>Year 1</t>
  </si>
  <si>
    <t>Year 2</t>
  </si>
  <si>
    <t>Year 3</t>
  </si>
  <si>
    <t>Cohort Years</t>
  </si>
  <si>
    <t>The Course Structure files must have these worksheet tabs</t>
  </si>
  <si>
    <t>PrepareWorksheet()</t>
  </si>
  <si>
    <t>ST1004</t>
  </si>
  <si>
    <t>ST2222</t>
  </si>
  <si>
    <t>ST0257</t>
  </si>
  <si>
    <t>ISEC</t>
  </si>
  <si>
    <t>MVD</t>
  </si>
  <si>
    <t>WEBA</t>
  </si>
  <si>
    <t>S1: move them to PE2</t>
  </si>
  <si>
    <t>S1: total 37 + 7</t>
  </si>
  <si>
    <t>DBIT 3B</t>
  </si>
  <si>
    <t>DISM 3B</t>
  </si>
  <si>
    <t>DISM 2S2</t>
  </si>
  <si>
    <t>DIT 2S2/G</t>
  </si>
  <si>
    <t>DIT 2A/S</t>
  </si>
  <si>
    <t>DIT 2B/S</t>
  </si>
  <si>
    <t>DIT 3A/G</t>
  </si>
  <si>
    <t>DIT 3A/S</t>
  </si>
  <si>
    <t>DISM 3A</t>
  </si>
  <si>
    <t>&lt;- may need manual update of 'Elective Numbers' tab (see yellow cells)
&lt;- Copy IT Electives to 'IT Elective' tabs ; plan elective numbers there and then copy back</t>
  </si>
  <si>
    <t>Planning For:</t>
  </si>
  <si>
    <t>7. Update formulas to compute number of classes for FYP modules for IT courses (1:4 SSR), Internship (1:1.5 SSR), REMT modules (1:14 SSR), MUSP (1:10 SSR), PROW1&amp;2 (1:10 SSR)</t>
  </si>
  <si>
    <t xml:space="preserve">Number of Students for Electives </t>
  </si>
  <si>
    <t>4. BMATH for DMAT is usually 1/3 of the cohort; set 0 to all BrM in DIT</t>
  </si>
  <si>
    <t>5.1 Run CopyStages macro -&gt; only need once after course structure is confirmed</t>
  </si>
  <si>
    <t>CopyStage()</t>
  </si>
  <si>
    <t>need to check for duplicates in Core Numbers tab</t>
  </si>
  <si>
    <t>CoreNumbers() or click ComputeStd button</t>
  </si>
  <si>
    <t>check duplicates</t>
  </si>
  <si>
    <t>Class</t>
  </si>
  <si>
    <t>IT8001</t>
  </si>
  <si>
    <t>IT8002</t>
  </si>
  <si>
    <t>IT8003</t>
  </si>
  <si>
    <t>IT8004</t>
  </si>
  <si>
    <t>ST4011</t>
  </si>
  <si>
    <t>ST4012</t>
  </si>
  <si>
    <t>SC</t>
  </si>
  <si>
    <t>NVWP</t>
  </si>
  <si>
    <t>FPRG</t>
  </si>
  <si>
    <t>VID</t>
  </si>
  <si>
    <t>DISM.xlsx</t>
  </si>
  <si>
    <t>DIT.xlsx</t>
  </si>
  <si>
    <t>DIT/S</t>
  </si>
  <si>
    <t>DIT/G</t>
  </si>
  <si>
    <t>Classes</t>
  </si>
  <si>
    <t>FPRG2</t>
  </si>
  <si>
    <t>NSCYS</t>
  </si>
  <si>
    <t>IT8201</t>
  </si>
  <si>
    <t>EHD</t>
  </si>
  <si>
    <t>IT8202</t>
  </si>
  <si>
    <t>IT8203</t>
  </si>
  <si>
    <t>IT8204</t>
  </si>
  <si>
    <t>IT8205</t>
  </si>
  <si>
    <t>IT8206</t>
  </si>
  <si>
    <t>NSFSW</t>
  </si>
  <si>
    <t>NSDAI</t>
  </si>
  <si>
    <t>SDS</t>
  </si>
  <si>
    <t>MS9001</t>
  </si>
  <si>
    <t>IT8701</t>
  </si>
  <si>
    <t>APML</t>
  </si>
  <si>
    <t>AIHI</t>
  </si>
  <si>
    <t>IT8302</t>
  </si>
  <si>
    <t>NSDBA</t>
  </si>
  <si>
    <t>IPDS</t>
  </si>
  <si>
    <t>ISDS</t>
  </si>
  <si>
    <t>BDP</t>
  </si>
  <si>
    <t>STR</t>
  </si>
  <si>
    <t>IT8051</t>
  </si>
  <si>
    <t>IT8052</t>
  </si>
  <si>
    <t>IT8053</t>
  </si>
  <si>
    <t>IT8702</t>
  </si>
  <si>
    <t>IT8703</t>
  </si>
  <si>
    <t>IT8081</t>
  </si>
  <si>
    <t>IT8082</t>
  </si>
  <si>
    <t>IT8083</t>
  </si>
  <si>
    <t>DICS</t>
  </si>
  <si>
    <t>NETF</t>
  </si>
  <si>
    <t>PROG</t>
  </si>
  <si>
    <t>IT8901</t>
  </si>
  <si>
    <t>IT8902</t>
  </si>
  <si>
    <t>IT8903</t>
  </si>
  <si>
    <t>IT8904</t>
  </si>
  <si>
    <t>WMP</t>
  </si>
  <si>
    <t>WDF</t>
  </si>
  <si>
    <t>FWD</t>
  </si>
  <si>
    <t>BDD</t>
  </si>
  <si>
    <t>IT8087</t>
  </si>
  <si>
    <t>ETH</t>
  </si>
  <si>
    <t xml:space="preserve">CD </t>
  </si>
  <si>
    <t>CLI</t>
  </si>
  <si>
    <t>IT8088</t>
  </si>
  <si>
    <t>IT8089</t>
  </si>
  <si>
    <t>IT8084</t>
  </si>
  <si>
    <t>IT8085</t>
  </si>
  <si>
    <t>IT8086</t>
  </si>
  <si>
    <t>PYC</t>
  </si>
  <si>
    <t>ACG</t>
  </si>
  <si>
    <t>IT8303</t>
  </si>
  <si>
    <t>DISM/1s2</t>
  </si>
  <si>
    <t>DIT/SA</t>
  </si>
  <si>
    <t>DCITP</t>
  </si>
  <si>
    <t>DCITP.xlsx</t>
  </si>
  <si>
    <t>DIT/DA</t>
  </si>
  <si>
    <t>DIT 1S2 (SA)</t>
  </si>
  <si>
    <t>DIT 1S2 (DA)</t>
  </si>
  <si>
    <t>DAAA</t>
  </si>
  <si>
    <t>DAAA.xlsx</t>
  </si>
  <si>
    <t>AY 2020/2021 Sem 2</t>
  </si>
  <si>
    <t>AY 2020/2021 Sem 1</t>
  </si>
  <si>
    <t>FE</t>
  </si>
  <si>
    <t>PDC1</t>
  </si>
  <si>
    <t>PDC2</t>
  </si>
  <si>
    <t>MC1</t>
  </si>
  <si>
    <t>MC2</t>
  </si>
  <si>
    <t>MC3</t>
  </si>
  <si>
    <t>MC4</t>
  </si>
  <si>
    <t>IT8090</t>
  </si>
  <si>
    <t>SMW</t>
  </si>
  <si>
    <t>IT8091</t>
  </si>
  <si>
    <t>LAS</t>
  </si>
  <si>
    <t>IT8092</t>
  </si>
  <si>
    <t>MC5</t>
  </si>
  <si>
    <t>IT8093</t>
  </si>
  <si>
    <t>IT8094</t>
  </si>
  <si>
    <t>IPS</t>
  </si>
  <si>
    <t>IT8095</t>
  </si>
  <si>
    <t>DAAA (1s2)</t>
  </si>
  <si>
    <t>PDS</t>
  </si>
  <si>
    <t>FOP</t>
  </si>
  <si>
    <t>EP0301</t>
  </si>
  <si>
    <t>PWE</t>
  </si>
  <si>
    <t>EP0302</t>
  </si>
  <si>
    <t>ST0509</t>
  </si>
  <si>
    <t>PE A1</t>
  </si>
  <si>
    <t>ST1002</t>
  </si>
  <si>
    <t>PE B1</t>
  </si>
  <si>
    <t>ST0513</t>
  </si>
  <si>
    <t>PE C1</t>
  </si>
  <si>
    <t>ST0510</t>
  </si>
  <si>
    <t>PE A2</t>
  </si>
  <si>
    <t>PE B2</t>
  </si>
  <si>
    <t>ST0514</t>
  </si>
  <si>
    <t>PE C2</t>
  </si>
  <si>
    <t>ST0511</t>
  </si>
  <si>
    <t>PE A3</t>
  </si>
  <si>
    <t>ST2321</t>
  </si>
  <si>
    <t>PE B3</t>
  </si>
  <si>
    <t>ST0515</t>
  </si>
  <si>
    <t>PE C3</t>
  </si>
  <si>
    <t>JPRG</t>
  </si>
  <si>
    <t>DVDE</t>
  </si>
  <si>
    <t>INIS</t>
  </si>
  <si>
    <t>JAD</t>
  </si>
  <si>
    <t>SISO</t>
  </si>
  <si>
    <t>ANDE</t>
  </si>
  <si>
    <t>IGRA</t>
  </si>
  <si>
    <t>ISDT</t>
  </si>
  <si>
    <t>1. Update student numbers in rows 9-14.</t>
  </si>
  <si>
    <t>5.2 Insert formulas (use absolute addresses) to compute the number of in-sync students taking each module.</t>
  </si>
  <si>
    <t>Note: Macro starts reading from column K (TBC)</t>
  </si>
  <si>
    <t>DIT 1S2</t>
  </si>
  <si>
    <t>for DIT - Y2 update cells K11:L12, Y3 - update U13:X14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</si>
</sst>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Calibri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sz val="8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FF0000"/>
      <name val="Arial"/>
      <family val="2"/>
    </font>
    <font>
      <sz val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4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" fillId="0" borderId="0"/>
  </cellStyleXfs>
  <cellXfs count="252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vertical="center" wrapText="1"/>
    </xf>
    <xf numFmtId="0" fontId="6" fillId="0" borderId="0" xfId="0" applyFont="1" applyFill="1" applyBorder="1" applyAlignment="1">
      <alignment horizontal="centerContinuous" vertical="center"/>
    </xf>
    <xf numFmtId="0" fontId="3" fillId="0" borderId="0" xfId="0" applyFont="1" applyFill="1" applyBorder="1"/>
    <xf numFmtId="0" fontId="8" fillId="0" borderId="0" xfId="0" applyFont="1" applyFill="1"/>
    <xf numFmtId="0" fontId="7" fillId="0" borderId="0" xfId="0" applyFont="1" applyFill="1" applyBorder="1"/>
    <xf numFmtId="0" fontId="3" fillId="0" borderId="0" xfId="0" applyFont="1" applyFill="1"/>
    <xf numFmtId="0" fontId="7" fillId="0" borderId="0" xfId="0" applyFont="1" applyFill="1"/>
    <xf numFmtId="0" fontId="6" fillId="0" borderId="4" xfId="0" applyFont="1" applyFill="1" applyBorder="1" applyAlignment="1">
      <alignment horizontal="centerContinuous" vertical="center"/>
    </xf>
    <xf numFmtId="0" fontId="7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" fontId="6" fillId="0" borderId="2" xfId="0" applyNumberFormat="1" applyFont="1" applyFill="1" applyBorder="1" applyAlignment="1">
      <alignment horizontal="centerContinuous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Continuous" vertical="center"/>
    </xf>
    <xf numFmtId="0" fontId="6" fillId="0" borderId="3" xfId="0" applyFont="1" applyFill="1" applyBorder="1" applyAlignment="1">
      <alignment horizontal="centerContinuous" vertical="center"/>
    </xf>
    <xf numFmtId="0" fontId="6" fillId="0" borderId="1" xfId="0" applyFont="1" applyFill="1" applyBorder="1" applyAlignment="1">
      <alignment horizontal="centerContinuous" vertical="center"/>
    </xf>
    <xf numFmtId="0" fontId="6" fillId="0" borderId="6" xfId="0" applyFont="1" applyFill="1" applyBorder="1" applyAlignment="1">
      <alignment horizontal="centerContinuous" vertical="center"/>
    </xf>
    <xf numFmtId="0" fontId="6" fillId="0" borderId="5" xfId="0" applyFont="1" applyFill="1" applyBorder="1" applyAlignment="1">
      <alignment horizontal="centerContinuous" vertical="center"/>
    </xf>
    <xf numFmtId="0" fontId="6" fillId="0" borderId="8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4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Border="1"/>
    <xf numFmtId="0" fontId="7" fillId="0" borderId="0" xfId="0" applyFont="1" applyFill="1" applyBorder="1" applyAlignment="1">
      <alignment horizontal="center" vertical="center" wrapText="1"/>
    </xf>
    <xf numFmtId="0" fontId="7" fillId="0" borderId="0" xfId="0" quotePrefix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7" xfId="0" applyFont="1" applyFill="1" applyBorder="1" applyAlignment="1">
      <alignment horizontal="left" vertical="center" wrapText="1"/>
    </xf>
    <xf numFmtId="0" fontId="3" fillId="0" borderId="1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/>
    </xf>
    <xf numFmtId="0" fontId="8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right"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Border="1" applyAlignment="1">
      <alignment horizontal="right" vertical="center"/>
    </xf>
    <xf numFmtId="1" fontId="7" fillId="0" borderId="0" xfId="0" applyNumberFormat="1" applyFont="1" applyFill="1" applyBorder="1" applyAlignment="1">
      <alignment vertical="center"/>
    </xf>
    <xf numFmtId="164" fontId="7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7" fillId="0" borderId="0" xfId="0" applyNumberFormat="1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0" xfId="0" applyFont="1" applyFill="1" applyAlignment="1">
      <alignment horizontal="right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7" fillId="0" borderId="4" xfId="0" quotePrefix="1" applyFont="1" applyFill="1" applyBorder="1" applyAlignment="1">
      <alignment vertical="center"/>
    </xf>
    <xf numFmtId="0" fontId="7" fillId="0" borderId="4" xfId="0" quotePrefix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vertical="center"/>
    </xf>
    <xf numFmtId="1" fontId="3" fillId="0" borderId="0" xfId="0" applyNumberFormat="1" applyFont="1" applyFill="1" applyAlignment="1">
      <alignment vertical="center"/>
    </xf>
    <xf numFmtId="0" fontId="6" fillId="3" borderId="12" xfId="0" applyFont="1" applyFill="1" applyBorder="1" applyAlignment="1">
      <alignment horizontal="center"/>
    </xf>
    <xf numFmtId="1" fontId="6" fillId="3" borderId="12" xfId="0" applyNumberFormat="1" applyFont="1" applyFill="1" applyBorder="1" applyAlignment="1">
      <alignment horizontal="center"/>
    </xf>
    <xf numFmtId="1" fontId="6" fillId="0" borderId="12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6" fillId="0" borderId="4" xfId="0" applyFont="1" applyFill="1" applyBorder="1"/>
    <xf numFmtId="0" fontId="3" fillId="0" borderId="0" xfId="0" applyFont="1" applyFill="1" applyAlignment="1">
      <alignment horizontal="left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2" fontId="5" fillId="0" borderId="0" xfId="0" applyNumberFormat="1" applyFont="1" applyAlignment="1">
      <alignment vertical="center"/>
    </xf>
    <xf numFmtId="2" fontId="3" fillId="0" borderId="0" xfId="0" applyNumberFormat="1" applyFont="1"/>
    <xf numFmtId="2" fontId="3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center"/>
    </xf>
    <xf numFmtId="2" fontId="4" fillId="2" borderId="4" xfId="0" applyNumberFormat="1" applyFont="1" applyFill="1" applyBorder="1" applyAlignment="1">
      <alignment horizontal="right"/>
    </xf>
    <xf numFmtId="2" fontId="4" fillId="0" borderId="4" xfId="0" applyNumberFormat="1" applyFont="1" applyBorder="1" applyAlignment="1">
      <alignment horizontal="right"/>
    </xf>
    <xf numFmtId="2" fontId="3" fillId="0" borderId="0" xfId="0" quotePrefix="1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2" fontId="3" fillId="3" borderId="4" xfId="0" applyNumberFormat="1" applyFont="1" applyFill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2" fontId="4" fillId="0" borderId="4" xfId="0" applyNumberFormat="1" applyFont="1" applyBorder="1"/>
    <xf numFmtId="2" fontId="3" fillId="2" borderId="4" xfId="0" applyNumberFormat="1" applyFont="1" applyFill="1" applyBorder="1"/>
    <xf numFmtId="2" fontId="3" fillId="0" borderId="4" xfId="0" applyNumberFormat="1" applyFont="1" applyBorder="1"/>
    <xf numFmtId="2" fontId="3" fillId="2" borderId="4" xfId="0" applyNumberFormat="1" applyFont="1" applyFill="1" applyBorder="1" applyAlignment="1">
      <alignment horizontal="right"/>
    </xf>
    <xf numFmtId="2" fontId="9" fillId="2" borderId="4" xfId="0" applyNumberFormat="1" applyFont="1" applyFill="1" applyBorder="1"/>
    <xf numFmtId="2" fontId="3" fillId="0" borderId="4" xfId="0" applyNumberFormat="1" applyFont="1" applyBorder="1" applyAlignment="1">
      <alignment horizontal="right"/>
    </xf>
    <xf numFmtId="2" fontId="3" fillId="0" borderId="1" xfId="0" applyNumberFormat="1" applyFont="1" applyBorder="1"/>
    <xf numFmtId="2" fontId="3" fillId="0" borderId="3" xfId="0" applyNumberFormat="1" applyFont="1" applyBorder="1"/>
    <xf numFmtId="2" fontId="7" fillId="0" borderId="4" xfId="0" applyNumberFormat="1" applyFont="1" applyBorder="1" applyAlignment="1">
      <alignment horizontal="right"/>
    </xf>
    <xf numFmtId="2" fontId="7" fillId="0" borderId="4" xfId="0" applyNumberFormat="1" applyFont="1" applyBorder="1"/>
    <xf numFmtId="1" fontId="3" fillId="0" borderId="0" xfId="0" applyNumberFormat="1" applyFont="1"/>
    <xf numFmtId="0" fontId="7" fillId="3" borderId="4" xfId="0" applyFont="1" applyFill="1" applyBorder="1" applyAlignment="1">
      <alignment horizontal="center" vertical="center"/>
    </xf>
    <xf numFmtId="1" fontId="7" fillId="3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Continuous" vertical="center"/>
    </xf>
    <xf numFmtId="0" fontId="6" fillId="3" borderId="2" xfId="0" applyFont="1" applyFill="1" applyBorder="1" applyAlignment="1">
      <alignment horizontal="centerContinuous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4" xfId="0" quotePrefix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 wrapText="1"/>
    </xf>
    <xf numFmtId="0" fontId="7" fillId="4" borderId="4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2" fillId="0" borderId="0" xfId="0" applyFont="1"/>
    <xf numFmtId="0" fontId="13" fillId="0" borderId="4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6" fillId="0" borderId="4" xfId="0" applyFont="1" applyFill="1" applyBorder="1" applyAlignment="1"/>
    <xf numFmtId="0" fontId="6" fillId="6" borderId="4" xfId="0" applyFont="1" applyFill="1" applyBorder="1"/>
    <xf numFmtId="0" fontId="7" fillId="7" borderId="4" xfId="0" applyFont="1" applyFill="1" applyBorder="1" applyAlignment="1">
      <alignment horizontal="center"/>
    </xf>
    <xf numFmtId="0" fontId="7" fillId="8" borderId="4" xfId="0" quotePrefix="1" applyFont="1" applyFill="1" applyBorder="1" applyAlignment="1">
      <alignment vertical="center"/>
    </xf>
    <xf numFmtId="0" fontId="13" fillId="0" borderId="0" xfId="0" applyFont="1"/>
    <xf numFmtId="0" fontId="0" fillId="0" borderId="0" xfId="0" applyFill="1"/>
    <xf numFmtId="49" fontId="6" fillId="0" borderId="0" xfId="0" applyNumberFormat="1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7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1" fontId="7" fillId="0" borderId="0" xfId="0" applyNumberFormat="1" applyFont="1" applyFill="1" applyBorder="1" applyAlignment="1">
      <alignment horizontal="center" vertical="center"/>
    </xf>
    <xf numFmtId="0" fontId="2" fillId="0" borderId="14" xfId="0" applyFont="1" applyBorder="1"/>
    <xf numFmtId="0" fontId="0" fillId="0" borderId="15" xfId="0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7" xfId="0" applyBorder="1"/>
    <xf numFmtId="0" fontId="0" fillId="0" borderId="13" xfId="0" applyBorder="1"/>
    <xf numFmtId="0" fontId="0" fillId="0" borderId="14" xfId="0" applyBorder="1"/>
    <xf numFmtId="0" fontId="0" fillId="0" borderId="19" xfId="0" applyBorder="1"/>
    <xf numFmtId="0" fontId="0" fillId="0" borderId="16" xfId="0" applyBorder="1"/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5" fillId="9" borderId="0" xfId="0" applyFont="1" applyFill="1" applyBorder="1"/>
    <xf numFmtId="0" fontId="0" fillId="0" borderId="18" xfId="0" applyBorder="1"/>
    <xf numFmtId="0" fontId="0" fillId="0" borderId="20" xfId="0" applyBorder="1"/>
    <xf numFmtId="0" fontId="7" fillId="0" borderId="16" xfId="0" applyFont="1" applyFill="1" applyBorder="1" applyAlignment="1">
      <alignment vertical="center"/>
    </xf>
    <xf numFmtId="0" fontId="7" fillId="0" borderId="16" xfId="0" applyFont="1" applyFill="1" applyBorder="1" applyAlignment="1">
      <alignment horizontal="right" vertical="center"/>
    </xf>
    <xf numFmtId="0" fontId="7" fillId="0" borderId="4" xfId="0" applyFont="1" applyBorder="1"/>
    <xf numFmtId="49" fontId="7" fillId="0" borderId="4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4" xfId="0" applyFont="1" applyFill="1" applyBorder="1"/>
    <xf numFmtId="0" fontId="0" fillId="0" borderId="4" xfId="0" applyBorder="1"/>
    <xf numFmtId="0" fontId="7" fillId="0" borderId="1" xfId="0" quotePrefix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left" vertical="center" wrapText="1"/>
    </xf>
    <xf numFmtId="0" fontId="3" fillId="0" borderId="11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center" vertical="center"/>
    </xf>
    <xf numFmtId="0" fontId="19" fillId="0" borderId="4" xfId="0" applyFont="1" applyBorder="1"/>
    <xf numFmtId="0" fontId="2" fillId="0" borderId="16" xfId="0" applyFont="1" applyFill="1" applyBorder="1"/>
    <xf numFmtId="0" fontId="2" fillId="0" borderId="17" xfId="0" applyFont="1" applyFill="1" applyBorder="1"/>
    <xf numFmtId="0" fontId="7" fillId="0" borderId="0" xfId="0" applyFont="1" applyFill="1" applyBorder="1" applyAlignment="1">
      <alignment vertical="center"/>
    </xf>
    <xf numFmtId="0" fontId="2" fillId="0" borderId="21" xfId="0" applyFont="1" applyBorder="1"/>
    <xf numFmtId="0" fontId="2" fillId="0" borderId="22" xfId="0" applyFont="1" applyBorder="1"/>
    <xf numFmtId="0" fontId="20" fillId="10" borderId="19" xfId="0" applyFont="1" applyFill="1" applyBorder="1"/>
    <xf numFmtId="0" fontId="0" fillId="10" borderId="19" xfId="0" applyFill="1" applyBorder="1"/>
    <xf numFmtId="0" fontId="6" fillId="0" borderId="7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1" fontId="6" fillId="3" borderId="7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vertical="center"/>
    </xf>
    <xf numFmtId="0" fontId="7" fillId="3" borderId="10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8" fillId="0" borderId="4" xfId="0" applyFont="1" applyFill="1" applyBorder="1"/>
    <xf numFmtId="0" fontId="0" fillId="0" borderId="4" xfId="0" applyFill="1" applyBorder="1"/>
    <xf numFmtId="0" fontId="13" fillId="0" borderId="4" xfId="0" applyFont="1" applyFill="1" applyBorder="1"/>
    <xf numFmtId="0" fontId="18" fillId="0" borderId="7" xfId="0" applyFont="1" applyFill="1" applyBorder="1"/>
    <xf numFmtId="0" fontId="7" fillId="10" borderId="4" xfId="0" applyFont="1" applyFill="1" applyBorder="1"/>
    <xf numFmtId="0" fontId="7" fillId="10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7" fillId="5" borderId="4" xfId="0" applyFont="1" applyFill="1" applyBorder="1" applyAlignment="1">
      <alignment vertical="center"/>
    </xf>
    <xf numFmtId="49" fontId="7" fillId="5" borderId="4" xfId="0" applyNumberFormat="1" applyFont="1" applyFill="1" applyBorder="1" applyAlignment="1">
      <alignment horizontal="center" vertical="center"/>
    </xf>
    <xf numFmtId="0" fontId="21" fillId="0" borderId="0" xfId="0" applyFont="1"/>
    <xf numFmtId="0" fontId="1" fillId="0" borderId="0" xfId="0" applyFont="1"/>
    <xf numFmtId="0" fontId="3" fillId="4" borderId="4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/>
    </xf>
    <xf numFmtId="49" fontId="6" fillId="0" borderId="7" xfId="0" applyNumberFormat="1" applyFont="1" applyFill="1" applyBorder="1" applyAlignment="1">
      <alignment horizontal="center" vertical="center"/>
    </xf>
    <xf numFmtId="49" fontId="7" fillId="0" borderId="11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" fontId="6" fillId="3" borderId="7" xfId="0" applyNumberFormat="1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2" fontId="4" fillId="2" borderId="4" xfId="0" applyNumberFormat="1" applyFont="1" applyFill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6" fillId="0" borderId="4" xfId="0" applyFont="1" applyFill="1" applyBorder="1" applyAlignment="1"/>
    <xf numFmtId="0" fontId="3" fillId="0" borderId="4" xfId="0" applyFont="1" applyFill="1" applyBorder="1" applyAlignment="1"/>
    <xf numFmtId="0" fontId="6" fillId="0" borderId="1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6" fillId="0" borderId="1" xfId="0" applyFont="1" applyFill="1" applyBorder="1" applyAlignment="1"/>
    <xf numFmtId="0" fontId="6" fillId="0" borderId="3" xfId="0" applyFont="1" applyFill="1" applyBorder="1" applyAlignment="1"/>
    <xf numFmtId="0" fontId="6" fillId="0" borderId="7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</cellXfs>
  <cellStyles count="4">
    <cellStyle name="Followed Hyperlink" xfId="2" builtinId="9" hidden="1"/>
    <cellStyle name="Hyperlink" xfId="1" builtinId="8" hidden="1"/>
    <cellStyle name="Normal" xfId="0" builtinId="0"/>
    <cellStyle name="Normal 2" xfId="3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CCFFFF"/>
      <color rgb="FFFF5050"/>
      <color rgb="FFC2F0C7"/>
      <color rgb="FFFF64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7</xdr:row>
          <xdr:rowOff>215900</xdr:rowOff>
        </xdr:from>
        <xdr:to>
          <xdr:col>2</xdr:col>
          <xdr:colOff>292100</xdr:colOff>
          <xdr:row>8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Course/Stage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228600</xdr:rowOff>
        </xdr:from>
        <xdr:to>
          <xdr:col>7</xdr:col>
          <xdr:colOff>63500</xdr:colOff>
          <xdr:row>8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114300</xdr:rowOff>
        </xdr:from>
        <xdr:to>
          <xdr:col>2</xdr:col>
          <xdr:colOff>317500</xdr:colOff>
          <xdr:row>1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Prepare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</xdr:row>
          <xdr:rowOff>203200</xdr:rowOff>
        </xdr:from>
        <xdr:to>
          <xdr:col>2</xdr:col>
          <xdr:colOff>317500</xdr:colOff>
          <xdr:row>3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Copy Course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114300</xdr:rowOff>
        </xdr:from>
        <xdr:to>
          <xdr:col>8</xdr:col>
          <xdr:colOff>279400</xdr:colOff>
          <xdr:row>2</xdr:row>
          <xdr:rowOff>50800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Compute Std and Class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3</xdr:row>
          <xdr:rowOff>76200</xdr:rowOff>
        </xdr:from>
        <xdr:to>
          <xdr:col>2</xdr:col>
          <xdr:colOff>317500</xdr:colOff>
          <xdr:row>4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Copy Electives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2</xdr:row>
          <xdr:rowOff>114300</xdr:rowOff>
        </xdr:from>
        <xdr:to>
          <xdr:col>8</xdr:col>
          <xdr:colOff>279400</xdr:colOff>
          <xdr:row>4</xdr:row>
          <xdr:rowOff>50800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 Compute Elective Std and Class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101600</xdr:rowOff>
        </xdr:from>
        <xdr:to>
          <xdr:col>14</xdr:col>
          <xdr:colOff>622300</xdr:colOff>
          <xdr:row>3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 Highlight Classes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0</xdr:row>
          <xdr:rowOff>215900</xdr:rowOff>
        </xdr:from>
        <xdr:to>
          <xdr:col>14</xdr:col>
          <xdr:colOff>596900</xdr:colOff>
          <xdr:row>2</xdr:row>
          <xdr:rowOff>12700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 Handle INTS,FYP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165100</xdr:colOff>
          <xdr:row>9</xdr:row>
          <xdr:rowOff>38100</xdr:rowOff>
        </xdr:from>
        <xdr:to>
          <xdr:col>25</xdr:col>
          <xdr:colOff>63500</xdr:colOff>
          <xdr:row>10</xdr:row>
          <xdr:rowOff>139700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IT Electives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%20Tab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s"/>
      <sheetName val="Sheet2"/>
      <sheetName val="Sheet3"/>
    </sheetNames>
    <definedNames>
      <definedName name="ModTbl" refersTo="='Modules'!$A$4:$M$155"/>
    </definedNames>
    <sheetDataSet>
      <sheetData sheetId="0">
        <row r="4">
          <cell r="A4" t="str">
            <v>BA0217</v>
          </cell>
          <cell r="B4" t="str">
            <v>SVC</v>
          </cell>
          <cell r="C4" t="str">
            <v>SB</v>
          </cell>
          <cell r="D4" t="str">
            <v>FUNE</v>
          </cell>
          <cell r="E4" t="str">
            <v>Fundamentals of Economics</v>
          </cell>
          <cell r="F4" t="str">
            <v>Nil</v>
          </cell>
          <cell r="G4">
            <v>1</v>
          </cell>
          <cell r="H4">
            <v>30</v>
          </cell>
          <cell r="I4">
            <v>30</v>
          </cell>
          <cell r="J4">
            <v>0</v>
          </cell>
          <cell r="K4">
            <v>0</v>
          </cell>
          <cell r="L4">
            <v>60</v>
          </cell>
          <cell r="M4">
            <v>4</v>
          </cell>
        </row>
        <row r="5">
          <cell r="A5" t="str">
            <v>BA0276</v>
          </cell>
          <cell r="B5" t="str">
            <v>SVC</v>
          </cell>
          <cell r="C5" t="str">
            <v>SB</v>
          </cell>
          <cell r="D5" t="str">
            <v>ACC</v>
          </cell>
          <cell r="E5" t="str">
            <v>Accounting</v>
          </cell>
          <cell r="F5" t="str">
            <v>Nil</v>
          </cell>
          <cell r="G5">
            <v>1</v>
          </cell>
          <cell r="H5">
            <v>30</v>
          </cell>
          <cell r="I5">
            <v>30</v>
          </cell>
          <cell r="J5">
            <v>0</v>
          </cell>
          <cell r="K5">
            <v>0</v>
          </cell>
          <cell r="L5">
            <v>60</v>
          </cell>
          <cell r="M5">
            <v>4</v>
          </cell>
        </row>
        <row r="6">
          <cell r="A6" t="str">
            <v>EM0301</v>
          </cell>
          <cell r="B6" t="str">
            <v>IT</v>
          </cell>
          <cell r="C6" t="str">
            <v>DAAA</v>
          </cell>
          <cell r="D6" t="str">
            <v>IS1</v>
          </cell>
          <cell r="E6" t="str">
            <v>Independent Study 1</v>
          </cell>
          <cell r="F6" t="str">
            <v>Nil</v>
          </cell>
          <cell r="G6">
            <v>7</v>
          </cell>
          <cell r="H6">
            <v>0</v>
          </cell>
          <cell r="I6">
            <v>30</v>
          </cell>
          <cell r="J6">
            <v>30</v>
          </cell>
          <cell r="K6">
            <v>0</v>
          </cell>
          <cell r="L6">
            <v>60</v>
          </cell>
          <cell r="M6">
            <v>4</v>
          </cell>
        </row>
        <row r="7">
          <cell r="A7" t="str">
            <v>EP0301</v>
          </cell>
          <cell r="B7" t="str">
            <v>IT</v>
          </cell>
          <cell r="C7" t="str">
            <v>DIT</v>
          </cell>
          <cell r="D7" t="str">
            <v>PWE</v>
          </cell>
          <cell r="E7" t="str">
            <v>Fundamentals of Programming</v>
          </cell>
          <cell r="F7" t="str">
            <v>Nil</v>
          </cell>
          <cell r="G7">
            <v>7</v>
          </cell>
          <cell r="H7">
            <v>0</v>
          </cell>
          <cell r="I7">
            <v>15</v>
          </cell>
          <cell r="J7">
            <v>45</v>
          </cell>
          <cell r="K7">
            <v>0</v>
          </cell>
          <cell r="L7">
            <v>60</v>
          </cell>
          <cell r="M7">
            <v>4</v>
          </cell>
        </row>
        <row r="8">
          <cell r="A8" t="str">
            <v>EP0302</v>
          </cell>
          <cell r="B8" t="str">
            <v>IT</v>
          </cell>
          <cell r="C8" t="str">
            <v>DIT</v>
          </cell>
          <cell r="D8" t="str">
            <v>PWE</v>
          </cell>
          <cell r="E8" t="str">
            <v>Programming for Data Science</v>
          </cell>
          <cell r="F8" t="str">
            <v>Nil</v>
          </cell>
          <cell r="G8">
            <v>7</v>
          </cell>
          <cell r="H8">
            <v>0</v>
          </cell>
          <cell r="I8">
            <v>30</v>
          </cell>
          <cell r="J8">
            <v>30</v>
          </cell>
          <cell r="K8">
            <v>0</v>
          </cell>
          <cell r="L8">
            <v>60</v>
          </cell>
          <cell r="M8">
            <v>4</v>
          </cell>
        </row>
        <row r="9">
          <cell r="A9" t="str">
            <v>IB3001</v>
          </cell>
          <cell r="B9" t="str">
            <v xml:space="preserve">DM </v>
          </cell>
          <cell r="C9" t="str">
            <v>DDA</v>
          </cell>
          <cell r="D9" t="str">
            <v>INTS</v>
          </cell>
          <cell r="E9" t="str">
            <v>Internship</v>
          </cell>
          <cell r="F9" t="str">
            <v>Nil</v>
          </cell>
          <cell r="G9">
            <v>7</v>
          </cell>
          <cell r="H9">
            <v>0</v>
          </cell>
          <cell r="I9">
            <v>0</v>
          </cell>
          <cell r="J9">
            <v>0</v>
          </cell>
          <cell r="K9">
            <v>408</v>
          </cell>
          <cell r="L9">
            <v>408</v>
          </cell>
          <cell r="M9">
            <v>17</v>
          </cell>
        </row>
        <row r="10">
          <cell r="A10" t="str">
            <v>IB3002</v>
          </cell>
          <cell r="B10" t="str">
            <v>IT</v>
          </cell>
          <cell r="C10" t="str">
            <v>DBIT</v>
          </cell>
          <cell r="D10" t="str">
            <v>INTS</v>
          </cell>
          <cell r="E10" t="str">
            <v>Internship</v>
          </cell>
          <cell r="F10" t="str">
            <v>Nil</v>
          </cell>
          <cell r="G10">
            <v>7</v>
          </cell>
          <cell r="H10">
            <v>0</v>
          </cell>
          <cell r="I10">
            <v>0</v>
          </cell>
          <cell r="J10">
            <v>0</v>
          </cell>
          <cell r="K10">
            <v>408</v>
          </cell>
          <cell r="L10">
            <v>408</v>
          </cell>
          <cell r="M10">
            <v>17</v>
          </cell>
        </row>
        <row r="11">
          <cell r="A11" t="str">
            <v>IB3003</v>
          </cell>
          <cell r="B11" t="str">
            <v>IT</v>
          </cell>
          <cell r="C11" t="str">
            <v>DISM</v>
          </cell>
          <cell r="D11" t="str">
            <v>INTS</v>
          </cell>
          <cell r="E11" t="str">
            <v>Internship</v>
          </cell>
          <cell r="F11" t="str">
            <v>Nil</v>
          </cell>
          <cell r="G11">
            <v>7</v>
          </cell>
          <cell r="H11">
            <v>0</v>
          </cell>
          <cell r="I11">
            <v>0</v>
          </cell>
          <cell r="J11">
            <v>0</v>
          </cell>
          <cell r="K11">
            <v>408</v>
          </cell>
          <cell r="L11">
            <v>408</v>
          </cell>
          <cell r="M11">
            <v>17</v>
          </cell>
        </row>
        <row r="12">
          <cell r="A12" t="str">
            <v>IB3004</v>
          </cell>
          <cell r="B12" t="str">
            <v>IT</v>
          </cell>
          <cell r="C12" t="str">
            <v>DIT</v>
          </cell>
          <cell r="D12" t="str">
            <v>INTS</v>
          </cell>
          <cell r="E12" t="str">
            <v>Internship</v>
          </cell>
          <cell r="F12" t="str">
            <v>Nil</v>
          </cell>
          <cell r="G12">
            <v>7</v>
          </cell>
          <cell r="H12">
            <v>0</v>
          </cell>
          <cell r="I12">
            <v>0</v>
          </cell>
          <cell r="J12">
            <v>0</v>
          </cell>
          <cell r="K12">
            <v>408</v>
          </cell>
          <cell r="L12">
            <v>408</v>
          </cell>
          <cell r="M12">
            <v>17</v>
          </cell>
        </row>
        <row r="13">
          <cell r="A13" t="str">
            <v>IC3001</v>
          </cell>
          <cell r="B13" t="str">
            <v>RSS</v>
          </cell>
          <cell r="C13" t="str">
            <v>AS</v>
          </cell>
          <cell r="D13" t="str">
            <v>INTS</v>
          </cell>
          <cell r="E13" t="str">
            <v>Internship</v>
          </cell>
          <cell r="F13" t="str">
            <v>Nil</v>
          </cell>
          <cell r="G13">
            <v>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22</v>
          </cell>
        </row>
        <row r="14">
          <cell r="A14" t="str">
            <v>IC3002</v>
          </cell>
          <cell r="B14" t="str">
            <v>RSS</v>
          </cell>
          <cell r="C14" t="str">
            <v>AS</v>
          </cell>
          <cell r="D14" t="str">
            <v>INTS</v>
          </cell>
          <cell r="E14" t="str">
            <v>Internship</v>
          </cell>
          <cell r="F14" t="str">
            <v>Nil</v>
          </cell>
          <cell r="G14">
            <v>7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22</v>
          </cell>
        </row>
        <row r="15">
          <cell r="A15" t="str">
            <v>IC3003</v>
          </cell>
          <cell r="B15" t="str">
            <v>RSS</v>
          </cell>
          <cell r="C15" t="str">
            <v>AS</v>
          </cell>
          <cell r="D15" t="str">
            <v>INTS</v>
          </cell>
          <cell r="E15" t="str">
            <v>Internship</v>
          </cell>
          <cell r="F15" t="str">
            <v>Nil</v>
          </cell>
          <cell r="G15">
            <v>7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22</v>
          </cell>
        </row>
        <row r="16">
          <cell r="A16" t="str">
            <v>IC3004</v>
          </cell>
          <cell r="B16" t="str">
            <v>RSS</v>
          </cell>
          <cell r="C16" t="str">
            <v>AS</v>
          </cell>
          <cell r="D16" t="str">
            <v>INTS</v>
          </cell>
          <cell r="E16" t="str">
            <v>Internship</v>
          </cell>
          <cell r="F16" t="str">
            <v>Nil</v>
          </cell>
          <cell r="G16">
            <v>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22</v>
          </cell>
        </row>
        <row r="17">
          <cell r="A17" t="str">
            <v>LC0854</v>
          </cell>
          <cell r="B17" t="str">
            <v>SVC</v>
          </cell>
          <cell r="C17" t="str">
            <v>LC</v>
          </cell>
          <cell r="D17" t="str">
            <v>CPT</v>
          </cell>
          <cell r="E17" t="str">
            <v>Communicating for Personal and Team Effectiveness</v>
          </cell>
          <cell r="F17" t="str">
            <v>Nil</v>
          </cell>
          <cell r="G17">
            <v>7</v>
          </cell>
          <cell r="H17">
            <v>0</v>
          </cell>
          <cell r="I17">
            <v>30</v>
          </cell>
          <cell r="J17">
            <v>0</v>
          </cell>
          <cell r="K17">
            <v>0</v>
          </cell>
          <cell r="L17">
            <v>30</v>
          </cell>
          <cell r="M17">
            <v>2</v>
          </cell>
        </row>
        <row r="18">
          <cell r="A18" t="str">
            <v>LC0855</v>
          </cell>
          <cell r="B18" t="str">
            <v>SVC</v>
          </cell>
          <cell r="C18" t="str">
            <v>LC</v>
          </cell>
          <cell r="D18" t="str">
            <v>CPR</v>
          </cell>
          <cell r="E18" t="str">
            <v>Communicating for Project (Proposal) Effectiveness</v>
          </cell>
          <cell r="F18" t="str">
            <v>Nil</v>
          </cell>
          <cell r="G18">
            <v>7</v>
          </cell>
          <cell r="H18">
            <v>0</v>
          </cell>
          <cell r="I18">
            <v>21</v>
          </cell>
          <cell r="J18">
            <v>0</v>
          </cell>
          <cell r="K18">
            <v>9</v>
          </cell>
          <cell r="L18">
            <v>30</v>
          </cell>
          <cell r="M18">
            <v>2</v>
          </cell>
        </row>
        <row r="19">
          <cell r="A19" t="str">
            <v>LC0856</v>
          </cell>
          <cell r="B19" t="str">
            <v>SVC</v>
          </cell>
          <cell r="C19" t="str">
            <v>LC</v>
          </cell>
          <cell r="D19" t="str">
            <v>CPR</v>
          </cell>
          <cell r="E19" t="str">
            <v>Communicating for Project (Report) Effectiveness</v>
          </cell>
          <cell r="F19" t="str">
            <v>Nil</v>
          </cell>
          <cell r="G19">
            <v>7</v>
          </cell>
          <cell r="H19">
            <v>0</v>
          </cell>
          <cell r="I19">
            <v>30</v>
          </cell>
          <cell r="J19">
            <v>0</v>
          </cell>
          <cell r="K19">
            <v>0</v>
          </cell>
          <cell r="L19">
            <v>30</v>
          </cell>
          <cell r="M19">
            <v>2</v>
          </cell>
        </row>
        <row r="20">
          <cell r="A20" t="str">
            <v>LC0857</v>
          </cell>
          <cell r="B20" t="str">
            <v>SVC</v>
          </cell>
          <cell r="C20" t="str">
            <v>LC</v>
          </cell>
          <cell r="D20" t="str">
            <v>CPF</v>
          </cell>
          <cell r="E20" t="str">
            <v>Communicating for Professional Effectiveness</v>
          </cell>
          <cell r="F20" t="str">
            <v>Nil</v>
          </cell>
          <cell r="G20">
            <v>7</v>
          </cell>
          <cell r="H20">
            <v>0</v>
          </cell>
          <cell r="I20">
            <v>16</v>
          </cell>
          <cell r="J20">
            <v>0</v>
          </cell>
          <cell r="K20">
            <v>14</v>
          </cell>
          <cell r="L20">
            <v>30</v>
          </cell>
          <cell r="M20">
            <v>2</v>
          </cell>
        </row>
        <row r="21">
          <cell r="A21" t="str">
            <v>LC0860</v>
          </cell>
          <cell r="B21" t="str">
            <v>SVC</v>
          </cell>
          <cell r="C21" t="str">
            <v>LC</v>
          </cell>
          <cell r="D21" t="str">
            <v>CAT</v>
          </cell>
          <cell r="E21" t="str">
            <v>Critical and Analytical Thinking</v>
          </cell>
          <cell r="F21" t="str">
            <v>Nil</v>
          </cell>
          <cell r="G21">
            <v>7</v>
          </cell>
          <cell r="H21">
            <v>0</v>
          </cell>
          <cell r="I21">
            <v>30</v>
          </cell>
          <cell r="J21">
            <v>0</v>
          </cell>
          <cell r="K21">
            <v>0</v>
          </cell>
          <cell r="L21">
            <v>30</v>
          </cell>
          <cell r="M21">
            <v>2</v>
          </cell>
        </row>
        <row r="22">
          <cell r="A22" t="str">
            <v>LC0861</v>
          </cell>
          <cell r="B22" t="str">
            <v>SVC</v>
          </cell>
          <cell r="C22" t="str">
            <v>LC</v>
          </cell>
          <cell r="D22" t="str">
            <v>NAT</v>
          </cell>
          <cell r="E22" t="str">
            <v>Narrative Thinking</v>
          </cell>
          <cell r="F22" t="str">
            <v>Nil</v>
          </cell>
          <cell r="G22">
            <v>7</v>
          </cell>
          <cell r="H22">
            <v>0</v>
          </cell>
          <cell r="I22">
            <v>30</v>
          </cell>
          <cell r="J22">
            <v>0</v>
          </cell>
          <cell r="K22">
            <v>0</v>
          </cell>
          <cell r="L22">
            <v>30</v>
          </cell>
          <cell r="M22">
            <v>2</v>
          </cell>
        </row>
        <row r="23">
          <cell r="A23" t="str">
            <v>LC8001</v>
          </cell>
          <cell r="B23" t="str">
            <v>SVC</v>
          </cell>
          <cell r="C23" t="str">
            <v>LC</v>
          </cell>
          <cell r="D23" t="str">
            <v>GE1</v>
          </cell>
          <cell r="E23" t="str">
            <v>General Education 1</v>
          </cell>
          <cell r="F23" t="str">
            <v>Nil</v>
          </cell>
          <cell r="G23">
            <v>7</v>
          </cell>
          <cell r="H23">
            <v>0</v>
          </cell>
          <cell r="I23">
            <v>30</v>
          </cell>
          <cell r="J23">
            <v>0</v>
          </cell>
          <cell r="K23">
            <v>0</v>
          </cell>
          <cell r="L23">
            <v>30</v>
          </cell>
          <cell r="M23">
            <v>2</v>
          </cell>
        </row>
        <row r="24">
          <cell r="A24" t="str">
            <v>LC8002</v>
          </cell>
          <cell r="B24" t="str">
            <v>SVC</v>
          </cell>
          <cell r="C24" t="str">
            <v>LC</v>
          </cell>
          <cell r="D24" t="str">
            <v>GE2</v>
          </cell>
          <cell r="E24" t="str">
            <v>General Education 2</v>
          </cell>
          <cell r="F24" t="str">
            <v>Nil</v>
          </cell>
          <cell r="G24">
            <v>7</v>
          </cell>
          <cell r="H24">
            <v>0</v>
          </cell>
          <cell r="I24">
            <v>30</v>
          </cell>
          <cell r="J24">
            <v>0</v>
          </cell>
          <cell r="K24">
            <v>0</v>
          </cell>
          <cell r="L24">
            <v>30</v>
          </cell>
          <cell r="M24">
            <v>2</v>
          </cell>
        </row>
        <row r="25">
          <cell r="A25" t="str">
            <v>LC8003</v>
          </cell>
          <cell r="B25" t="str">
            <v>RSS</v>
          </cell>
          <cell r="C25" t="str">
            <v>AS</v>
          </cell>
          <cell r="D25" t="str">
            <v>SIP</v>
          </cell>
          <cell r="E25" t="str">
            <v>Social Innovation Project</v>
          </cell>
          <cell r="F25" t="str">
            <v>Nil</v>
          </cell>
          <cell r="G25">
            <v>7</v>
          </cell>
          <cell r="H25">
            <v>0</v>
          </cell>
          <cell r="I25">
            <v>30</v>
          </cell>
          <cell r="J25">
            <v>0</v>
          </cell>
          <cell r="K25">
            <v>0</v>
          </cell>
          <cell r="L25">
            <v>30</v>
          </cell>
          <cell r="M25">
            <v>2</v>
          </cell>
        </row>
        <row r="26">
          <cell r="A26" t="str">
            <v>LC8004</v>
          </cell>
          <cell r="B26" t="str">
            <v>SVC</v>
          </cell>
          <cell r="C26" t="str">
            <v>LC</v>
          </cell>
          <cell r="D26" t="str">
            <v>GE3</v>
          </cell>
          <cell r="E26" t="str">
            <v>General Education 3</v>
          </cell>
          <cell r="F26" t="str">
            <v>Nil</v>
          </cell>
          <cell r="G26">
            <v>7</v>
          </cell>
          <cell r="H26">
            <v>0</v>
          </cell>
          <cell r="I26">
            <v>30</v>
          </cell>
          <cell r="J26">
            <v>0</v>
          </cell>
          <cell r="K26">
            <v>0</v>
          </cell>
          <cell r="L26">
            <v>30</v>
          </cell>
          <cell r="M26">
            <v>2</v>
          </cell>
        </row>
        <row r="27">
          <cell r="A27" t="str">
            <v>LC8062</v>
          </cell>
          <cell r="B27" t="str">
            <v>RSS</v>
          </cell>
          <cell r="C27" t="str">
            <v>AS</v>
          </cell>
          <cell r="D27" t="str">
            <v>SIP</v>
          </cell>
          <cell r="E27" t="str">
            <v>Social Innovation Project</v>
          </cell>
          <cell r="F27" t="str">
            <v>Nil</v>
          </cell>
          <cell r="G27">
            <v>7</v>
          </cell>
          <cell r="H27">
            <v>0</v>
          </cell>
          <cell r="I27">
            <v>39</v>
          </cell>
          <cell r="J27">
            <v>0</v>
          </cell>
          <cell r="K27">
            <v>6</v>
          </cell>
          <cell r="L27">
            <v>45</v>
          </cell>
          <cell r="M27">
            <v>3</v>
          </cell>
        </row>
        <row r="28">
          <cell r="A28" t="str">
            <v>MS001Q</v>
          </cell>
          <cell r="B28" t="str">
            <v>SVC</v>
          </cell>
          <cell r="C28" t="str">
            <v>MS</v>
          </cell>
          <cell r="D28" t="str">
            <v>BrM</v>
          </cell>
          <cell r="E28" t="str">
            <v>Bridging Mathematics</v>
          </cell>
          <cell r="F28" t="str">
            <v>Nil</v>
          </cell>
          <cell r="G28">
            <v>1</v>
          </cell>
          <cell r="H28">
            <v>30</v>
          </cell>
          <cell r="I28">
            <v>30</v>
          </cell>
          <cell r="J28">
            <v>0</v>
          </cell>
          <cell r="K28">
            <v>0</v>
          </cell>
          <cell r="L28">
            <v>60</v>
          </cell>
          <cell r="M28">
            <v>4</v>
          </cell>
        </row>
        <row r="29">
          <cell r="A29" t="str">
            <v>MS0100</v>
          </cell>
          <cell r="B29" t="str">
            <v>SVC</v>
          </cell>
          <cell r="C29" t="str">
            <v>MS</v>
          </cell>
          <cell r="D29" t="str">
            <v>BMATH</v>
          </cell>
          <cell r="E29" t="str">
            <v>Basic Mathematics</v>
          </cell>
          <cell r="F29" t="str">
            <v>Nil</v>
          </cell>
          <cell r="G29" t="str">
            <v xml:space="preserve"> -</v>
          </cell>
          <cell r="H29">
            <v>0</v>
          </cell>
          <cell r="I29">
            <v>60</v>
          </cell>
          <cell r="J29">
            <v>0</v>
          </cell>
          <cell r="K29">
            <v>0</v>
          </cell>
          <cell r="L29">
            <v>60</v>
          </cell>
          <cell r="M29">
            <v>4</v>
          </cell>
        </row>
        <row r="30">
          <cell r="A30" t="str">
            <v>MS0102</v>
          </cell>
          <cell r="B30" t="str">
            <v>SVC</v>
          </cell>
          <cell r="C30" t="str">
            <v>MS</v>
          </cell>
          <cell r="D30" t="str">
            <v>MATH</v>
          </cell>
          <cell r="E30" t="str">
            <v>Mathematics</v>
          </cell>
          <cell r="F30" t="str">
            <v>Nil</v>
          </cell>
          <cell r="G30">
            <v>7</v>
          </cell>
          <cell r="H30">
            <v>0</v>
          </cell>
          <cell r="I30">
            <v>45</v>
          </cell>
          <cell r="J30">
            <v>0</v>
          </cell>
          <cell r="K30">
            <v>0</v>
          </cell>
          <cell r="L30">
            <v>45</v>
          </cell>
          <cell r="M30">
            <v>3</v>
          </cell>
        </row>
        <row r="31">
          <cell r="A31" t="str">
            <v>MS0105</v>
          </cell>
          <cell r="B31" t="str">
            <v>SVC</v>
          </cell>
          <cell r="C31" t="str">
            <v>MS</v>
          </cell>
          <cell r="D31" t="str">
            <v>MATH</v>
          </cell>
          <cell r="E31" t="str">
            <v>Mathematics</v>
          </cell>
          <cell r="F31" t="str">
            <v>Nil</v>
          </cell>
          <cell r="G31">
            <v>1</v>
          </cell>
          <cell r="H31">
            <v>15</v>
          </cell>
          <cell r="I31">
            <v>45</v>
          </cell>
          <cell r="J31">
            <v>0</v>
          </cell>
          <cell r="K31">
            <v>0</v>
          </cell>
          <cell r="L31">
            <v>60</v>
          </cell>
          <cell r="M31">
            <v>4</v>
          </cell>
        </row>
        <row r="32">
          <cell r="A32" t="str">
            <v>MS0140</v>
          </cell>
          <cell r="B32" t="str">
            <v>SVC</v>
          </cell>
          <cell r="C32" t="str">
            <v>MS</v>
          </cell>
          <cell r="D32" t="str">
            <v>SDSA</v>
          </cell>
          <cell r="E32" t="str">
            <v>Statistics for Data Science</v>
          </cell>
          <cell r="F32" t="str">
            <v>Nil</v>
          </cell>
          <cell r="G32">
            <v>7</v>
          </cell>
          <cell r="H32">
            <v>15</v>
          </cell>
          <cell r="I32">
            <v>0</v>
          </cell>
          <cell r="J32">
            <v>45</v>
          </cell>
          <cell r="K32">
            <v>0</v>
          </cell>
          <cell r="L32">
            <v>60</v>
          </cell>
          <cell r="M32">
            <v>4</v>
          </cell>
        </row>
        <row r="33">
          <cell r="A33" t="str">
            <v>MS0229</v>
          </cell>
          <cell r="B33" t="str">
            <v>SVC</v>
          </cell>
          <cell r="C33" t="str">
            <v>MS</v>
          </cell>
          <cell r="D33" t="str">
            <v>STATS</v>
          </cell>
          <cell r="E33" t="str">
            <v>Business Statistics</v>
          </cell>
          <cell r="F33" t="str">
            <v>Nil</v>
          </cell>
          <cell r="G33">
            <v>1</v>
          </cell>
          <cell r="H33">
            <v>0</v>
          </cell>
          <cell r="I33">
            <v>45</v>
          </cell>
          <cell r="J33">
            <v>0</v>
          </cell>
          <cell r="K33">
            <v>15</v>
          </cell>
          <cell r="L33">
            <v>60</v>
          </cell>
          <cell r="M33">
            <v>4</v>
          </cell>
        </row>
        <row r="34">
          <cell r="A34" t="str">
            <v>MS0240</v>
          </cell>
          <cell r="B34" t="str">
            <v>SVC</v>
          </cell>
          <cell r="C34" t="str">
            <v>MS</v>
          </cell>
          <cell r="D34" t="str">
            <v>MAI</v>
          </cell>
          <cell r="E34" t="str">
            <v>Mathematics for AI</v>
          </cell>
          <cell r="F34" t="str">
            <v>Nil</v>
          </cell>
          <cell r="G34">
            <v>7</v>
          </cell>
          <cell r="H34">
            <v>15</v>
          </cell>
          <cell r="I34">
            <v>22.5</v>
          </cell>
          <cell r="J34">
            <v>22.5</v>
          </cell>
          <cell r="K34">
            <v>0</v>
          </cell>
          <cell r="L34">
            <v>60</v>
          </cell>
          <cell r="M34">
            <v>4</v>
          </cell>
        </row>
        <row r="35">
          <cell r="A35" t="str">
            <v>MS100Q</v>
          </cell>
          <cell r="B35" t="str">
            <v>SVC</v>
          </cell>
          <cell r="C35" t="str">
            <v>MS</v>
          </cell>
          <cell r="D35" t="str">
            <v>EM1</v>
          </cell>
          <cell r="E35" t="str">
            <v>Engineering Mathematics</v>
          </cell>
          <cell r="F35" t="str">
            <v>Nil</v>
          </cell>
          <cell r="G35">
            <v>1</v>
          </cell>
          <cell r="H35">
            <v>15</v>
          </cell>
          <cell r="I35">
            <v>45</v>
          </cell>
          <cell r="J35">
            <v>0</v>
          </cell>
          <cell r="K35">
            <v>0</v>
          </cell>
          <cell r="L35">
            <v>60</v>
          </cell>
          <cell r="M35">
            <v>4</v>
          </cell>
        </row>
        <row r="36">
          <cell r="A36" t="str">
            <v>SP108B</v>
          </cell>
          <cell r="B36" t="str">
            <v>RSS</v>
          </cell>
          <cell r="C36" t="str">
            <v>AS</v>
          </cell>
          <cell r="D36" t="str">
            <v>ECG1</v>
          </cell>
          <cell r="E36" t="str">
            <v>Education &amp; Career Guidance 1</v>
          </cell>
          <cell r="F36" t="str">
            <v>Nil</v>
          </cell>
          <cell r="G36">
            <v>7</v>
          </cell>
          <cell r="H36">
            <v>0</v>
          </cell>
          <cell r="I36">
            <v>30</v>
          </cell>
          <cell r="J36">
            <v>0</v>
          </cell>
          <cell r="K36">
            <v>0</v>
          </cell>
          <cell r="L36">
            <v>30</v>
          </cell>
          <cell r="M36">
            <v>2</v>
          </cell>
        </row>
        <row r="37">
          <cell r="A37" t="str">
            <v>SP208B</v>
          </cell>
          <cell r="B37" t="str">
            <v>RSS</v>
          </cell>
          <cell r="C37" t="str">
            <v>AS</v>
          </cell>
          <cell r="D37" t="str">
            <v>ECG2</v>
          </cell>
          <cell r="E37" t="str">
            <v>Education &amp; Career Counselling 2</v>
          </cell>
          <cell r="F37" t="str">
            <v>Nil</v>
          </cell>
          <cell r="G37">
            <v>7</v>
          </cell>
          <cell r="H37">
            <v>0</v>
          </cell>
          <cell r="I37">
            <v>12</v>
          </cell>
          <cell r="J37">
            <v>0</v>
          </cell>
          <cell r="K37">
            <v>3</v>
          </cell>
          <cell r="L37">
            <v>15</v>
          </cell>
          <cell r="M37">
            <v>1</v>
          </cell>
        </row>
        <row r="38">
          <cell r="A38" t="str">
            <v>ST0214</v>
          </cell>
          <cell r="B38" t="str">
            <v>IT</v>
          </cell>
          <cell r="C38" t="str">
            <v>DIT</v>
          </cell>
          <cell r="D38" t="str">
            <v>ARVR</v>
          </cell>
          <cell r="E38" t="str">
            <v>Augmented Reality &amp; Virtual Reality Development </v>
          </cell>
          <cell r="F38" t="str">
            <v>Nil</v>
          </cell>
          <cell r="G38">
            <v>7</v>
          </cell>
          <cell r="H38">
            <v>0</v>
          </cell>
          <cell r="I38">
            <v>60</v>
          </cell>
          <cell r="J38">
            <v>0</v>
          </cell>
          <cell r="K38">
            <v>0</v>
          </cell>
          <cell r="L38">
            <v>60</v>
          </cell>
          <cell r="M38">
            <v>4</v>
          </cell>
        </row>
        <row r="39">
          <cell r="A39" t="str">
            <v>ST0215</v>
          </cell>
          <cell r="B39" t="str">
            <v>IT</v>
          </cell>
          <cell r="C39" t="str">
            <v>DIT</v>
          </cell>
          <cell r="D39" t="str">
            <v>NMA</v>
          </cell>
          <cell r="E39" t="str">
            <v>Network Management and Administration</v>
          </cell>
          <cell r="F39" t="str">
            <v>ST1006 (T)</v>
          </cell>
          <cell r="G39">
            <v>7</v>
          </cell>
          <cell r="H39">
            <v>22.5</v>
          </cell>
          <cell r="I39">
            <v>0</v>
          </cell>
          <cell r="J39">
            <v>37.5</v>
          </cell>
          <cell r="K39">
            <v>0</v>
          </cell>
          <cell r="L39">
            <v>60</v>
          </cell>
          <cell r="M39">
            <v>4</v>
          </cell>
        </row>
        <row r="40">
          <cell r="A40" t="str">
            <v>ST0218</v>
          </cell>
          <cell r="B40" t="str">
            <v>IT</v>
          </cell>
          <cell r="C40" t="str">
            <v>DIT</v>
          </cell>
          <cell r="D40" t="str">
            <v>DSAL</v>
          </cell>
          <cell r="E40" t="str">
            <v>Data Structures and Algorithms</v>
          </cell>
          <cell r="F40" t="str">
            <v>ST1012 (P)</v>
          </cell>
          <cell r="G40">
            <v>1</v>
          </cell>
          <cell r="H40">
            <v>0</v>
          </cell>
          <cell r="I40">
            <v>15</v>
          </cell>
          <cell r="J40">
            <v>60</v>
          </cell>
          <cell r="K40">
            <v>0</v>
          </cell>
          <cell r="L40">
            <v>75</v>
          </cell>
          <cell r="M40">
            <v>5</v>
          </cell>
        </row>
        <row r="41">
          <cell r="A41" t="str">
            <v>ST0246</v>
          </cell>
          <cell r="B41" t="str">
            <v>IT</v>
          </cell>
          <cell r="C41" t="str">
            <v>DIT</v>
          </cell>
          <cell r="D41" t="str">
            <v>MGDE</v>
          </cell>
          <cell r="E41" t="str">
            <v>Mobile Game Development</v>
          </cell>
          <cell r="F41" t="str">
            <v>PROG (T)</v>
          </cell>
          <cell r="G41">
            <v>7</v>
          </cell>
          <cell r="H41">
            <v>0</v>
          </cell>
          <cell r="I41">
            <v>15</v>
          </cell>
          <cell r="J41">
            <v>45</v>
          </cell>
          <cell r="K41">
            <v>0</v>
          </cell>
          <cell r="L41">
            <v>60</v>
          </cell>
          <cell r="M41">
            <v>4</v>
          </cell>
        </row>
        <row r="42">
          <cell r="A42" t="str">
            <v>ST0248</v>
          </cell>
          <cell r="B42" t="str">
            <v>IT</v>
          </cell>
          <cell r="C42" t="str">
            <v>DIT</v>
          </cell>
          <cell r="D42" t="str">
            <v>PDS</v>
          </cell>
          <cell r="E42" t="str">
            <v>Programming for Data Science</v>
          </cell>
          <cell r="F42" t="str">
            <v>Nil</v>
          </cell>
          <cell r="G42">
            <v>7</v>
          </cell>
          <cell r="H42">
            <v>0</v>
          </cell>
          <cell r="I42">
            <v>30</v>
          </cell>
          <cell r="J42">
            <v>30</v>
          </cell>
          <cell r="K42">
            <v>0</v>
          </cell>
          <cell r="L42">
            <v>60</v>
          </cell>
          <cell r="M42">
            <v>4</v>
          </cell>
        </row>
        <row r="43">
          <cell r="A43" t="str">
            <v>ST0249</v>
          </cell>
          <cell r="B43" t="str">
            <v>IT</v>
          </cell>
          <cell r="C43" t="str">
            <v>DIT</v>
          </cell>
          <cell r="D43" t="str">
            <v>AIML</v>
          </cell>
          <cell r="E43" t="str">
            <v>AI &amp; Machine Learning</v>
          </cell>
          <cell r="F43" t="str">
            <v>Nil</v>
          </cell>
          <cell r="G43">
            <v>7</v>
          </cell>
          <cell r="H43">
            <v>0</v>
          </cell>
          <cell r="I43">
            <v>30</v>
          </cell>
          <cell r="J43">
            <v>30</v>
          </cell>
          <cell r="K43">
            <v>0</v>
          </cell>
          <cell r="L43">
            <v>60</v>
          </cell>
          <cell r="M43">
            <v>4</v>
          </cell>
        </row>
        <row r="44">
          <cell r="A44" t="str">
            <v>ST0257</v>
          </cell>
          <cell r="B44" t="str">
            <v>IT</v>
          </cell>
          <cell r="C44" t="str">
            <v>DIT</v>
          </cell>
          <cell r="D44" t="str">
            <v>WEBA</v>
          </cell>
          <cell r="E44" t="str">
            <v>Web Applications Development</v>
          </cell>
          <cell r="F44" t="str">
            <v>APPD (T)</v>
          </cell>
          <cell r="G44">
            <v>7</v>
          </cell>
          <cell r="H44">
            <v>0</v>
          </cell>
          <cell r="I44">
            <v>30</v>
          </cell>
          <cell r="J44">
            <v>45</v>
          </cell>
          <cell r="K44">
            <v>0</v>
          </cell>
          <cell r="L44">
            <v>75</v>
          </cell>
          <cell r="M44">
            <v>5</v>
          </cell>
        </row>
        <row r="45">
          <cell r="A45" t="str">
            <v>ST0270</v>
          </cell>
          <cell r="B45" t="str">
            <v>IT</v>
          </cell>
          <cell r="C45" t="str">
            <v>DIT</v>
          </cell>
          <cell r="D45" t="str">
            <v>EBP</v>
          </cell>
          <cell r="E45" t="str">
            <v>Enterprise Business Processes</v>
          </cell>
          <cell r="F45" t="str">
            <v>Nil</v>
          </cell>
          <cell r="G45">
            <v>1</v>
          </cell>
          <cell r="H45">
            <v>22.5</v>
          </cell>
          <cell r="I45">
            <v>15</v>
          </cell>
          <cell r="J45">
            <v>37.5</v>
          </cell>
          <cell r="K45">
            <v>0</v>
          </cell>
          <cell r="L45">
            <v>75</v>
          </cell>
          <cell r="M45">
            <v>5</v>
          </cell>
        </row>
        <row r="46">
          <cell r="A46" t="str">
            <v>ST0276</v>
          </cell>
          <cell r="B46" t="str">
            <v>IT</v>
          </cell>
          <cell r="C46" t="str">
            <v>DBIT</v>
          </cell>
          <cell r="D46" t="str">
            <v>ELAW</v>
          </cell>
          <cell r="E46" t="str">
            <v xml:space="preserve">Ethics and Law of IT and Media  </v>
          </cell>
          <cell r="F46" t="str">
            <v>Nil</v>
          </cell>
          <cell r="G46">
            <v>7</v>
          </cell>
          <cell r="H46">
            <v>0</v>
          </cell>
          <cell r="I46">
            <v>30</v>
          </cell>
          <cell r="J46">
            <v>0</v>
          </cell>
          <cell r="K46">
            <v>0</v>
          </cell>
          <cell r="L46">
            <v>30</v>
          </cell>
          <cell r="M46">
            <v>2</v>
          </cell>
        </row>
        <row r="47">
          <cell r="A47" t="str">
            <v>ST0277</v>
          </cell>
          <cell r="B47" t="str">
            <v>IT</v>
          </cell>
          <cell r="C47" t="str">
            <v>DIT</v>
          </cell>
          <cell r="D47" t="str">
            <v>DEUI</v>
          </cell>
          <cell r="E47" t="str">
            <v>Design for User Interaction</v>
          </cell>
          <cell r="F47" t="str">
            <v>Nil</v>
          </cell>
          <cell r="G47">
            <v>7</v>
          </cell>
          <cell r="H47">
            <v>0</v>
          </cell>
          <cell r="I47">
            <v>30</v>
          </cell>
          <cell r="J47">
            <v>45</v>
          </cell>
          <cell r="K47">
            <v>0</v>
          </cell>
          <cell r="L47">
            <v>75</v>
          </cell>
          <cell r="M47">
            <v>5</v>
          </cell>
        </row>
        <row r="48">
          <cell r="A48" t="str">
            <v>ST0280</v>
          </cell>
          <cell r="B48" t="str">
            <v>IT</v>
          </cell>
          <cell r="C48" t="str">
            <v>DIT</v>
          </cell>
          <cell r="D48" t="str">
            <v>CSC</v>
          </cell>
          <cell r="E48" t="str">
            <v>Cloud and Service Computing</v>
          </cell>
          <cell r="F48" t="str">
            <v>PROG (T)</v>
          </cell>
          <cell r="G48">
            <v>1</v>
          </cell>
          <cell r="H48">
            <v>23</v>
          </cell>
          <cell r="I48">
            <v>7</v>
          </cell>
          <cell r="J48">
            <v>30</v>
          </cell>
          <cell r="K48">
            <v>0</v>
          </cell>
          <cell r="L48">
            <v>60</v>
          </cell>
          <cell r="M48">
            <v>4</v>
          </cell>
        </row>
        <row r="49">
          <cell r="A49" t="str">
            <v>ST0281</v>
          </cell>
          <cell r="B49" t="str">
            <v>IT</v>
          </cell>
          <cell r="C49" t="str">
            <v>DIT</v>
          </cell>
          <cell r="D49" t="str">
            <v>MAPP</v>
          </cell>
          <cell r="E49" t="str">
            <v>Mobile Applications</v>
          </cell>
          <cell r="F49" t="str">
            <v>PROG (T)</v>
          </cell>
          <cell r="G49">
            <v>7</v>
          </cell>
          <cell r="H49">
            <v>0</v>
          </cell>
          <cell r="I49">
            <v>30</v>
          </cell>
          <cell r="J49">
            <v>45</v>
          </cell>
          <cell r="K49">
            <v>0</v>
          </cell>
          <cell r="L49">
            <v>75</v>
          </cell>
          <cell r="M49">
            <v>5</v>
          </cell>
        </row>
        <row r="50">
          <cell r="A50" t="str">
            <v>ST0291</v>
          </cell>
          <cell r="B50" t="str">
            <v>IT</v>
          </cell>
          <cell r="C50" t="str">
            <v>DISM</v>
          </cell>
          <cell r="D50" t="str">
            <v>EAD</v>
          </cell>
          <cell r="E50" t="str">
            <v>Enterprise Application Development</v>
          </cell>
          <cell r="F50" t="str">
            <v>PROG (T)</v>
          </cell>
          <cell r="G50">
            <v>1</v>
          </cell>
          <cell r="H50">
            <v>30</v>
          </cell>
          <cell r="I50">
            <v>0</v>
          </cell>
          <cell r="J50">
            <v>45</v>
          </cell>
          <cell r="K50">
            <v>0</v>
          </cell>
          <cell r="L50">
            <v>75</v>
          </cell>
          <cell r="M50">
            <v>5</v>
          </cell>
        </row>
        <row r="51">
          <cell r="A51" t="str">
            <v>ST0292</v>
          </cell>
          <cell r="B51" t="str">
            <v>IT</v>
          </cell>
          <cell r="C51" t="str">
            <v>DIT</v>
          </cell>
          <cell r="D51" t="str">
            <v>NMA</v>
          </cell>
          <cell r="E51" t="str">
            <v>Network Management and Assurance</v>
          </cell>
          <cell r="F51" t="str">
            <v>NETF (T)</v>
          </cell>
          <cell r="G51">
            <v>1</v>
          </cell>
          <cell r="H51">
            <v>22.5</v>
          </cell>
          <cell r="I51">
            <v>0</v>
          </cell>
          <cell r="J51">
            <v>37.5</v>
          </cell>
          <cell r="K51">
            <v>0</v>
          </cell>
          <cell r="L51">
            <v>60</v>
          </cell>
          <cell r="M51">
            <v>4</v>
          </cell>
        </row>
        <row r="52">
          <cell r="A52" t="str">
            <v>ST0293</v>
          </cell>
          <cell r="B52" t="str">
            <v>DM</v>
          </cell>
          <cell r="C52" t="str">
            <v>DIT</v>
          </cell>
          <cell r="D52" t="str">
            <v>UID</v>
          </cell>
          <cell r="E52" t="str">
            <v xml:space="preserve">User Interface Design </v>
          </cell>
          <cell r="F52" t="str">
            <v>Nil</v>
          </cell>
          <cell r="G52">
            <v>7</v>
          </cell>
          <cell r="H52">
            <v>0</v>
          </cell>
          <cell r="I52">
            <v>60</v>
          </cell>
          <cell r="J52">
            <v>0</v>
          </cell>
          <cell r="K52">
            <v>0</v>
          </cell>
          <cell r="L52">
            <v>60</v>
          </cell>
          <cell r="M52">
            <v>4</v>
          </cell>
        </row>
        <row r="53">
          <cell r="A53" t="str">
            <v>ST0294</v>
          </cell>
          <cell r="B53" t="str">
            <v>IT</v>
          </cell>
          <cell r="C53" t="str">
            <v>DIT</v>
          </cell>
          <cell r="D53" t="str">
            <v>GEOV</v>
          </cell>
          <cell r="E53" t="str">
            <v xml:space="preserve">Geospatial Visualization </v>
          </cell>
          <cell r="F53" t="str">
            <v>Nil</v>
          </cell>
          <cell r="G53">
            <v>7</v>
          </cell>
          <cell r="H53">
            <v>0</v>
          </cell>
          <cell r="I53">
            <v>30</v>
          </cell>
          <cell r="J53">
            <v>30</v>
          </cell>
          <cell r="K53">
            <v>0</v>
          </cell>
          <cell r="L53">
            <v>60</v>
          </cell>
          <cell r="M53">
            <v>4</v>
          </cell>
        </row>
        <row r="54">
          <cell r="A54" t="str">
            <v>ST0296</v>
          </cell>
          <cell r="B54" t="str">
            <v>IT</v>
          </cell>
          <cell r="C54" t="str">
            <v>DIT</v>
          </cell>
          <cell r="D54" t="str">
            <v>DSAL</v>
          </cell>
          <cell r="E54" t="str">
            <v>Data Structures &amp; Algorithms using C++</v>
          </cell>
          <cell r="F54" t="str">
            <v>Nil</v>
          </cell>
          <cell r="G54">
            <v>1</v>
          </cell>
          <cell r="H54">
            <v>0</v>
          </cell>
          <cell r="I54">
            <v>15</v>
          </cell>
          <cell r="J54">
            <v>60</v>
          </cell>
          <cell r="K54">
            <v>0</v>
          </cell>
          <cell r="L54">
            <v>75</v>
          </cell>
          <cell r="M54">
            <v>5</v>
          </cell>
        </row>
        <row r="55">
          <cell r="A55" t="str">
            <v>ST0297</v>
          </cell>
          <cell r="B55" t="str">
            <v>IT</v>
          </cell>
          <cell r="C55" t="str">
            <v>DIT</v>
          </cell>
          <cell r="D55" t="str">
            <v>INGD</v>
          </cell>
          <cell r="E55" t="str">
            <v>Introduction to Game Development</v>
          </cell>
          <cell r="F55" t="str">
            <v>Nil</v>
          </cell>
          <cell r="G55">
            <v>7</v>
          </cell>
          <cell r="H55">
            <v>0</v>
          </cell>
          <cell r="I55">
            <v>75</v>
          </cell>
          <cell r="J55">
            <v>0</v>
          </cell>
          <cell r="K55">
            <v>0</v>
          </cell>
          <cell r="L55">
            <v>75</v>
          </cell>
          <cell r="M55">
            <v>5</v>
          </cell>
        </row>
        <row r="56">
          <cell r="A56" t="str">
            <v>ST0298</v>
          </cell>
          <cell r="B56" t="str">
            <v>IT</v>
          </cell>
          <cell r="C56" t="str">
            <v>DIT</v>
          </cell>
          <cell r="D56" t="str">
            <v>IGRA</v>
          </cell>
          <cell r="E56" t="str">
            <v>Interactive Computer Graphics</v>
          </cell>
          <cell r="F56" t="str">
            <v>Nil</v>
          </cell>
          <cell r="G56">
            <v>1</v>
          </cell>
          <cell r="H56">
            <v>0</v>
          </cell>
          <cell r="I56">
            <v>15</v>
          </cell>
          <cell r="J56">
            <v>75</v>
          </cell>
          <cell r="K56">
            <v>0</v>
          </cell>
          <cell r="L56">
            <v>90</v>
          </cell>
          <cell r="M56">
            <v>6</v>
          </cell>
        </row>
        <row r="57">
          <cell r="A57" t="str">
            <v>ST0299</v>
          </cell>
          <cell r="B57" t="str">
            <v>IT</v>
          </cell>
          <cell r="C57" t="str">
            <v>DIT</v>
          </cell>
          <cell r="D57" t="str">
            <v>GPRG</v>
          </cell>
          <cell r="E57" t="str">
            <v>Game Programming Using C++ </v>
          </cell>
          <cell r="F57" t="str">
            <v>ST1012 (T)</v>
          </cell>
          <cell r="G57">
            <v>1</v>
          </cell>
          <cell r="H57">
            <v>0</v>
          </cell>
          <cell r="I57">
            <v>75</v>
          </cell>
          <cell r="J57">
            <v>0</v>
          </cell>
          <cell r="K57">
            <v>0</v>
          </cell>
          <cell r="L57">
            <v>75</v>
          </cell>
          <cell r="M57">
            <v>5</v>
          </cell>
        </row>
        <row r="58">
          <cell r="A58" t="str">
            <v>ST0308</v>
          </cell>
          <cell r="B58" t="str">
            <v>RSS</v>
          </cell>
          <cell r="C58" t="str">
            <v>AS</v>
          </cell>
          <cell r="D58" t="str">
            <v>INTS</v>
          </cell>
          <cell r="E58" t="str">
            <v>Internship</v>
          </cell>
          <cell r="F58" t="str">
            <v>Nil</v>
          </cell>
          <cell r="G58">
            <v>7</v>
          </cell>
          <cell r="H58">
            <v>0</v>
          </cell>
          <cell r="I58">
            <v>0</v>
          </cell>
          <cell r="J58">
            <v>7.5</v>
          </cell>
          <cell r="K58">
            <v>0</v>
          </cell>
          <cell r="L58">
            <v>7.5</v>
          </cell>
          <cell r="M58">
            <v>0.5</v>
          </cell>
        </row>
        <row r="59">
          <cell r="A59" t="str">
            <v>ST0313</v>
          </cell>
          <cell r="B59" t="str">
            <v>IT</v>
          </cell>
          <cell r="C59" t="str">
            <v>DISM</v>
          </cell>
          <cell r="D59" t="str">
            <v>ELSA</v>
          </cell>
          <cell r="E59" t="str">
            <v>Essential Linux System Administration</v>
          </cell>
          <cell r="F59" t="str">
            <v>Nil</v>
          </cell>
          <cell r="G59">
            <v>7</v>
          </cell>
          <cell r="H59">
            <v>0</v>
          </cell>
          <cell r="I59">
            <v>0</v>
          </cell>
          <cell r="J59">
            <v>60</v>
          </cell>
          <cell r="K59">
            <v>0</v>
          </cell>
          <cell r="L59">
            <v>60</v>
          </cell>
          <cell r="M59">
            <v>4</v>
          </cell>
        </row>
        <row r="60">
          <cell r="A60" t="str">
            <v>ST0316</v>
          </cell>
          <cell r="B60" t="str">
            <v>IT</v>
          </cell>
          <cell r="C60" t="str">
            <v>DIT</v>
          </cell>
          <cell r="D60" t="str">
            <v>AJP</v>
          </cell>
          <cell r="E60" t="str">
            <v>Advanced Java Programming</v>
          </cell>
          <cell r="F60" t="str">
            <v>PROG (P)</v>
          </cell>
          <cell r="G60">
            <v>7</v>
          </cell>
          <cell r="H60">
            <v>23</v>
          </cell>
          <cell r="I60">
            <v>7</v>
          </cell>
          <cell r="J60">
            <v>30</v>
          </cell>
          <cell r="K60">
            <v>0</v>
          </cell>
          <cell r="L60">
            <v>60</v>
          </cell>
          <cell r="M60">
            <v>4</v>
          </cell>
        </row>
        <row r="61">
          <cell r="A61" t="str">
            <v>ST0318</v>
          </cell>
          <cell r="B61" t="str">
            <v>IT</v>
          </cell>
          <cell r="C61" t="str">
            <v>DIT</v>
          </cell>
          <cell r="D61" t="str">
            <v>SDP</v>
          </cell>
          <cell r="E61" t="str">
            <v>Solutions Development Project</v>
          </cell>
          <cell r="F61" t="str">
            <v>ST293Z(T)</v>
          </cell>
          <cell r="G61">
            <v>7</v>
          </cell>
          <cell r="H61">
            <v>0</v>
          </cell>
          <cell r="I61">
            <v>22.5</v>
          </cell>
          <cell r="J61">
            <v>0</v>
          </cell>
          <cell r="K61">
            <v>217.5</v>
          </cell>
          <cell r="L61">
            <v>240</v>
          </cell>
          <cell r="M61">
            <v>16</v>
          </cell>
        </row>
        <row r="62">
          <cell r="A62" t="str">
            <v>ST0320</v>
          </cell>
          <cell r="B62" t="str">
            <v>IT</v>
          </cell>
          <cell r="C62" t="str">
            <v>DIT</v>
          </cell>
          <cell r="D62" t="str">
            <v>GDP</v>
          </cell>
          <cell r="E62" t="str">
            <v>Game Development Portfolio</v>
          </cell>
          <cell r="F62" t="str">
            <v>ST292Z(T)</v>
          </cell>
          <cell r="G62">
            <v>7</v>
          </cell>
          <cell r="H62">
            <v>0</v>
          </cell>
          <cell r="I62">
            <v>22.5</v>
          </cell>
          <cell r="J62">
            <v>0</v>
          </cell>
          <cell r="K62">
            <v>217.5</v>
          </cell>
          <cell r="L62">
            <v>240</v>
          </cell>
          <cell r="M62">
            <v>16</v>
          </cell>
        </row>
        <row r="63">
          <cell r="A63" t="str">
            <v>ST0323</v>
          </cell>
          <cell r="B63" t="str">
            <v>IT</v>
          </cell>
          <cell r="C63" t="str">
            <v>DIT</v>
          </cell>
          <cell r="D63" t="str">
            <v>NETP</v>
          </cell>
          <cell r="E63" t="str">
            <v>Network Programming </v>
          </cell>
          <cell r="F63" t="str">
            <v> ST1012 (T)</v>
          </cell>
          <cell r="G63">
            <v>7</v>
          </cell>
          <cell r="H63">
            <v>0</v>
          </cell>
          <cell r="I63">
            <v>15</v>
          </cell>
          <cell r="J63">
            <v>45</v>
          </cell>
          <cell r="K63">
            <v>0</v>
          </cell>
          <cell r="L63">
            <v>60</v>
          </cell>
          <cell r="M63">
            <v>4</v>
          </cell>
        </row>
        <row r="64">
          <cell r="A64" t="str">
            <v>ST0324</v>
          </cell>
          <cell r="B64" t="str">
            <v>IT</v>
          </cell>
          <cell r="C64" t="str">
            <v>DIT</v>
          </cell>
          <cell r="D64" t="str">
            <v>IOT</v>
          </cell>
          <cell r="E64" t="str">
            <v>Internet Of Things</v>
          </cell>
          <cell r="F64" t="str">
            <v>Nil</v>
          </cell>
          <cell r="G64">
            <v>7</v>
          </cell>
          <cell r="H64">
            <v>0</v>
          </cell>
          <cell r="I64">
            <v>15</v>
          </cell>
          <cell r="J64">
            <v>45</v>
          </cell>
          <cell r="K64">
            <v>0</v>
          </cell>
          <cell r="L64">
            <v>60</v>
          </cell>
          <cell r="M64">
            <v>4</v>
          </cell>
        </row>
        <row r="65">
          <cell r="A65" t="str">
            <v>ST0501</v>
          </cell>
          <cell r="B65" t="str">
            <v>IT</v>
          </cell>
          <cell r="C65" t="str">
            <v>DIT</v>
          </cell>
          <cell r="D65" t="str">
            <v>FED</v>
          </cell>
          <cell r="E65" t="str">
            <v>Front-End Web Development</v>
          </cell>
          <cell r="F65" t="str">
            <v>Nil</v>
          </cell>
          <cell r="G65">
            <v>7</v>
          </cell>
          <cell r="H65">
            <v>0</v>
          </cell>
          <cell r="I65">
            <v>37.5</v>
          </cell>
          <cell r="J65">
            <v>37.5</v>
          </cell>
          <cell r="K65">
            <v>0</v>
          </cell>
          <cell r="L65">
            <v>75</v>
          </cell>
          <cell r="M65">
            <v>5</v>
          </cell>
        </row>
        <row r="66">
          <cell r="A66" t="str">
            <v>ST0502</v>
          </cell>
          <cell r="B66" t="str">
            <v>IT</v>
          </cell>
          <cell r="C66" t="str">
            <v>DIT</v>
          </cell>
          <cell r="D66" t="str">
            <v>FOP</v>
          </cell>
          <cell r="E66" t="str">
            <v>Fundamentals of Programming</v>
          </cell>
          <cell r="F66" t="str">
            <v>Nil</v>
          </cell>
          <cell r="G66">
            <v>7</v>
          </cell>
          <cell r="H66">
            <v>0</v>
          </cell>
          <cell r="I66">
            <v>30</v>
          </cell>
          <cell r="J66">
            <v>60</v>
          </cell>
          <cell r="K66">
            <v>0</v>
          </cell>
          <cell r="L66">
            <v>90</v>
          </cell>
          <cell r="M66">
            <v>6</v>
          </cell>
        </row>
        <row r="67">
          <cell r="A67" t="str">
            <v>ST0503</v>
          </cell>
          <cell r="B67" t="str">
            <v>IT</v>
          </cell>
          <cell r="C67" t="str">
            <v>DIT</v>
          </cell>
          <cell r="D67" t="str">
            <v>BED</v>
          </cell>
          <cell r="E67" t="str">
            <v>Back-End Web Development</v>
          </cell>
          <cell r="F67" t="str">
            <v> ST0501 (Taken) , ST0502 (Passed)</v>
          </cell>
          <cell r="G67" t="str">
            <v> 7</v>
          </cell>
          <cell r="H67">
            <v>0</v>
          </cell>
          <cell r="I67">
            <v>45</v>
          </cell>
          <cell r="J67">
            <v>45</v>
          </cell>
          <cell r="K67">
            <v>0</v>
          </cell>
          <cell r="L67">
            <v>90</v>
          </cell>
          <cell r="M67">
            <v>6</v>
          </cell>
        </row>
        <row r="68">
          <cell r="A68" t="str">
            <v>ST0504</v>
          </cell>
          <cell r="B68" t="str">
            <v>IT</v>
          </cell>
          <cell r="C68" t="str">
            <v>DIT</v>
          </cell>
          <cell r="D68" t="str">
            <v>MAD</v>
          </cell>
          <cell r="E68" t="str">
            <v>Mobile Application Development</v>
          </cell>
          <cell r="F68" t="str">
            <v> ST0501 (Taken) , ST0502 (Taken)</v>
          </cell>
          <cell r="G68">
            <v>7</v>
          </cell>
          <cell r="H68">
            <v>0</v>
          </cell>
          <cell r="I68">
            <v>30</v>
          </cell>
          <cell r="J68">
            <v>45</v>
          </cell>
          <cell r="K68">
            <v>0</v>
          </cell>
          <cell r="L68">
            <v>75</v>
          </cell>
          <cell r="M68">
            <v>5</v>
          </cell>
        </row>
        <row r="69">
          <cell r="A69" t="str">
            <v>ST0505</v>
          </cell>
          <cell r="B69" t="str">
            <v>IT</v>
          </cell>
          <cell r="C69" t="str">
            <v>DIT</v>
          </cell>
          <cell r="D69" t="str">
            <v>ESDE</v>
          </cell>
          <cell r="E69" t="str">
            <v>Enterprise Systems Development</v>
          </cell>
          <cell r="F69" t="str">
            <v xml:space="preserve"> ST0503 (Taken) </v>
          </cell>
          <cell r="G69">
            <v>7</v>
          </cell>
          <cell r="H69">
            <v>0</v>
          </cell>
          <cell r="I69">
            <v>45</v>
          </cell>
          <cell r="J69">
            <v>45</v>
          </cell>
          <cell r="K69">
            <v>0</v>
          </cell>
          <cell r="L69">
            <v>90</v>
          </cell>
          <cell r="M69">
            <v>6</v>
          </cell>
        </row>
        <row r="70">
          <cell r="A70" t="str">
            <v>ST0506</v>
          </cell>
          <cell r="B70" t="str">
            <v>IT</v>
          </cell>
          <cell r="C70" t="str">
            <v>DIT</v>
          </cell>
          <cell r="D70" t="str">
            <v>SEP</v>
          </cell>
          <cell r="E70" t="str">
            <v>Software Engineering Practice</v>
          </cell>
          <cell r="F70" t="str">
            <v xml:space="preserve"> ST0503 (Taken) </v>
          </cell>
          <cell r="G70">
            <v>7</v>
          </cell>
          <cell r="H70">
            <v>0</v>
          </cell>
          <cell r="I70">
            <v>75</v>
          </cell>
          <cell r="J70">
            <v>0</v>
          </cell>
          <cell r="K70">
            <v>0</v>
          </cell>
          <cell r="L70">
            <v>75</v>
          </cell>
          <cell r="M70">
            <v>5</v>
          </cell>
        </row>
        <row r="71">
          <cell r="A71" t="str">
            <v>ST0507</v>
          </cell>
          <cell r="B71" t="str">
            <v>IT</v>
          </cell>
          <cell r="C71" t="str">
            <v>DIT</v>
          </cell>
          <cell r="D71" t="str">
            <v>ADES</v>
          </cell>
          <cell r="E71" t="str">
            <v>Application Development Studio</v>
          </cell>
          <cell r="F71" t="str">
            <v xml:space="preserve"> ST0503 (Taken) </v>
          </cell>
          <cell r="G71">
            <v>7</v>
          </cell>
          <cell r="H71">
            <v>0</v>
          </cell>
          <cell r="I71">
            <v>30</v>
          </cell>
          <cell r="J71">
            <v>60</v>
          </cell>
          <cell r="K71">
            <v>0</v>
          </cell>
          <cell r="L71">
            <v>90</v>
          </cell>
          <cell r="M71">
            <v>6</v>
          </cell>
        </row>
        <row r="72">
          <cell r="A72" t="str">
            <v>ST0509</v>
          </cell>
          <cell r="B72" t="str">
            <v>IT</v>
          </cell>
          <cell r="C72" t="str">
            <v>DIT</v>
          </cell>
          <cell r="D72" t="str">
            <v>JPRG</v>
          </cell>
          <cell r="E72" t="str">
            <v>Java Programming</v>
          </cell>
          <cell r="F72" t="str">
            <v>ST0502 (Passed)</v>
          </cell>
          <cell r="G72" t="str">
            <v> 7</v>
          </cell>
          <cell r="H72">
            <v>0</v>
          </cell>
          <cell r="I72">
            <v>15</v>
          </cell>
          <cell r="J72">
            <v>45</v>
          </cell>
          <cell r="K72" t="str">
            <v> 0</v>
          </cell>
          <cell r="L72">
            <v>60</v>
          </cell>
          <cell r="M72">
            <v>4</v>
          </cell>
        </row>
        <row r="73">
          <cell r="A73" t="str">
            <v>ST0510</v>
          </cell>
          <cell r="B73" t="str">
            <v>IT</v>
          </cell>
          <cell r="C73" t="str">
            <v>DIT</v>
          </cell>
          <cell r="D73" t="str">
            <v>JAD</v>
          </cell>
          <cell r="E73" t="str">
            <v>J2EE Application Development</v>
          </cell>
          <cell r="F73" t="str">
            <v>ST0501 (Taken), ST0509 (Taken)</v>
          </cell>
          <cell r="G73" t="str">
            <v> 7</v>
          </cell>
          <cell r="H73">
            <v>0</v>
          </cell>
          <cell r="I73">
            <v>30</v>
          </cell>
          <cell r="J73">
            <v>30</v>
          </cell>
          <cell r="K73" t="str">
            <v> 0</v>
          </cell>
          <cell r="L73">
            <v>60</v>
          </cell>
          <cell r="M73">
            <v>4</v>
          </cell>
        </row>
        <row r="74">
          <cell r="A74" t="str">
            <v>ST0511</v>
          </cell>
          <cell r="B74" t="str">
            <v>IT</v>
          </cell>
          <cell r="C74" t="str">
            <v>DIT</v>
          </cell>
          <cell r="D74" t="str">
            <v>ANDE</v>
          </cell>
          <cell r="E74" t="str">
            <v>Android Development</v>
          </cell>
          <cell r="F74" t="str">
            <v>ST0509 (Taken)</v>
          </cell>
          <cell r="G74">
            <v>7</v>
          </cell>
          <cell r="H74">
            <v>0</v>
          </cell>
          <cell r="I74">
            <v>30</v>
          </cell>
          <cell r="J74">
            <v>30</v>
          </cell>
          <cell r="K74">
            <v>0</v>
          </cell>
          <cell r="L74">
            <v>60</v>
          </cell>
          <cell r="M74">
            <v>4</v>
          </cell>
        </row>
        <row r="75">
          <cell r="A75" t="str">
            <v>ST0513</v>
          </cell>
          <cell r="B75" t="str">
            <v>IT</v>
          </cell>
          <cell r="C75" t="str">
            <v>DIT</v>
          </cell>
          <cell r="D75" t="str">
            <v>INIS</v>
          </cell>
          <cell r="E75" t="str">
            <v>Introduction to Immersive Simulation</v>
          </cell>
          <cell r="F75" t="str">
            <v>Nil</v>
          </cell>
          <cell r="G75">
            <v>7</v>
          </cell>
          <cell r="H75">
            <v>0</v>
          </cell>
          <cell r="I75">
            <v>30</v>
          </cell>
          <cell r="J75">
            <v>30</v>
          </cell>
          <cell r="K75">
            <v>0</v>
          </cell>
          <cell r="L75">
            <v>60</v>
          </cell>
          <cell r="M75">
            <v>4</v>
          </cell>
        </row>
        <row r="76">
          <cell r="A76" t="str">
            <v>ST0514</v>
          </cell>
          <cell r="B76" t="str">
            <v>IT</v>
          </cell>
          <cell r="C76" t="str">
            <v>DIT</v>
          </cell>
          <cell r="D76" t="str">
            <v>SISO</v>
          </cell>
          <cell r="E76" t="str">
            <v>Simulation Scenes &amp; Objects</v>
          </cell>
          <cell r="F76" t="str">
            <v>ST0513 (Taken)</v>
          </cell>
          <cell r="G76">
            <v>7</v>
          </cell>
          <cell r="H76">
            <v>0</v>
          </cell>
          <cell r="I76">
            <v>30</v>
          </cell>
          <cell r="J76">
            <v>45</v>
          </cell>
          <cell r="K76">
            <v>0</v>
          </cell>
          <cell r="L76">
            <v>75</v>
          </cell>
          <cell r="M76">
            <v>5</v>
          </cell>
        </row>
        <row r="77">
          <cell r="A77" t="str">
            <v>ST0515</v>
          </cell>
          <cell r="B77" t="str">
            <v>IT</v>
          </cell>
          <cell r="C77" t="str">
            <v>DIT</v>
          </cell>
          <cell r="D77" t="str">
            <v>ISDT</v>
          </cell>
          <cell r="E77" t="str">
            <v>Immersive Simulation Development Techniques</v>
          </cell>
          <cell r="F77" t="str">
            <v>Nil</v>
          </cell>
          <cell r="G77">
            <v>7</v>
          </cell>
          <cell r="H77">
            <v>0</v>
          </cell>
          <cell r="I77">
            <v>30</v>
          </cell>
          <cell r="J77">
            <v>45</v>
          </cell>
          <cell r="K77">
            <v>0</v>
          </cell>
          <cell r="L77">
            <v>75</v>
          </cell>
          <cell r="M77">
            <v>5</v>
          </cell>
        </row>
        <row r="78">
          <cell r="A78" t="str">
            <v>ST0516</v>
          </cell>
          <cell r="B78" t="str">
            <v>IT</v>
          </cell>
          <cell r="C78" t="str">
            <v>PJ</v>
          </cell>
          <cell r="D78" t="str">
            <v>WSPDIT</v>
          </cell>
          <cell r="E78" t="str">
            <v>Work Study Project (DIT)</v>
          </cell>
          <cell r="F78" t="str">
            <v>ST293Z(T)</v>
          </cell>
          <cell r="G78">
            <v>7</v>
          </cell>
          <cell r="H78">
            <v>0</v>
          </cell>
          <cell r="I78">
            <v>0</v>
          </cell>
          <cell r="J78">
            <v>0</v>
          </cell>
          <cell r="K78">
            <v>240</v>
          </cell>
          <cell r="L78">
            <v>240</v>
          </cell>
          <cell r="M78">
            <v>16</v>
          </cell>
        </row>
        <row r="79">
          <cell r="A79" t="str">
            <v>ST0517</v>
          </cell>
          <cell r="B79" t="str">
            <v>IT</v>
          </cell>
          <cell r="C79" t="str">
            <v>PJ</v>
          </cell>
          <cell r="D79" t="str">
            <v>CSCP</v>
          </cell>
          <cell r="E79" t="str">
            <v>Cloud and Service Computing (Project)</v>
          </cell>
          <cell r="F79" t="str">
            <v>ST1009(T)</v>
          </cell>
          <cell r="G79">
            <v>7</v>
          </cell>
          <cell r="H79">
            <v>0</v>
          </cell>
          <cell r="I79">
            <v>0</v>
          </cell>
          <cell r="J79">
            <v>0</v>
          </cell>
          <cell r="K79">
            <v>60</v>
          </cell>
          <cell r="L79">
            <v>60</v>
          </cell>
          <cell r="M79">
            <v>4</v>
          </cell>
        </row>
        <row r="80">
          <cell r="A80" t="str">
            <v>ST1001</v>
          </cell>
          <cell r="B80" t="str">
            <v>IT</v>
          </cell>
          <cell r="C80" t="str">
            <v>DBIT</v>
          </cell>
          <cell r="D80" t="str">
            <v>DBMS</v>
          </cell>
          <cell r="E80" t="str">
            <v>Database Management Systems</v>
          </cell>
          <cell r="F80" t="str">
            <v>Nil</v>
          </cell>
          <cell r="G80">
            <v>1</v>
          </cell>
          <cell r="H80">
            <v>0</v>
          </cell>
          <cell r="I80">
            <v>52.5</v>
          </cell>
          <cell r="J80">
            <v>22.5</v>
          </cell>
          <cell r="K80">
            <v>0</v>
          </cell>
          <cell r="L80">
            <v>75</v>
          </cell>
          <cell r="M80">
            <v>5</v>
          </cell>
        </row>
        <row r="81">
          <cell r="A81" t="str">
            <v>ST1002</v>
          </cell>
          <cell r="B81" t="str">
            <v>DM</v>
          </cell>
          <cell r="C81" t="str">
            <v>DIT</v>
          </cell>
          <cell r="D81" t="str">
            <v>DVDE</v>
          </cell>
          <cell r="E81" t="str">
            <v>Digital Visual Design</v>
          </cell>
          <cell r="F81" t="str">
            <v>Nil</v>
          </cell>
          <cell r="G81">
            <v>7</v>
          </cell>
          <cell r="H81">
            <v>0</v>
          </cell>
          <cell r="I81">
            <v>60</v>
          </cell>
          <cell r="J81">
            <v>0</v>
          </cell>
          <cell r="K81">
            <v>0</v>
          </cell>
          <cell r="L81">
            <v>60</v>
          </cell>
          <cell r="M81">
            <v>4</v>
          </cell>
        </row>
        <row r="82">
          <cell r="A82" t="str">
            <v>ST1004</v>
          </cell>
          <cell r="B82" t="str">
            <v>IT</v>
          </cell>
          <cell r="C82" t="str">
            <v>DISM</v>
          </cell>
          <cell r="D82" t="str">
            <v>ISEC</v>
          </cell>
          <cell r="E82" t="str">
            <v>Infocomm Security</v>
          </cell>
          <cell r="F82" t="str">
            <v>Nil</v>
          </cell>
          <cell r="G82">
            <v>1</v>
          </cell>
          <cell r="H82">
            <v>0</v>
          </cell>
          <cell r="I82">
            <v>45</v>
          </cell>
          <cell r="J82">
            <v>15</v>
          </cell>
          <cell r="K82">
            <v>0</v>
          </cell>
          <cell r="L82">
            <v>60</v>
          </cell>
          <cell r="M82">
            <v>4</v>
          </cell>
        </row>
        <row r="83">
          <cell r="A83" t="str">
            <v>ST1007</v>
          </cell>
          <cell r="B83" t="str">
            <v>IT</v>
          </cell>
          <cell r="C83" t="str">
            <v>DBIT</v>
          </cell>
          <cell r="D83" t="str">
            <v>SMM</v>
          </cell>
          <cell r="E83" t="str">
            <v xml:space="preserve">Social Media Marketing                      </v>
          </cell>
          <cell r="F83" t="str">
            <v>Nil</v>
          </cell>
          <cell r="G83">
            <v>7</v>
          </cell>
          <cell r="H83">
            <v>0</v>
          </cell>
          <cell r="I83">
            <v>30</v>
          </cell>
          <cell r="J83">
            <v>30</v>
          </cell>
          <cell r="K83">
            <v>0</v>
          </cell>
          <cell r="L83">
            <v>60</v>
          </cell>
          <cell r="M83">
            <v>4</v>
          </cell>
        </row>
        <row r="84">
          <cell r="A84" t="str">
            <v>ST1008</v>
          </cell>
          <cell r="B84" t="str">
            <v>IT</v>
          </cell>
          <cell r="C84" t="str">
            <v>DIT</v>
          </cell>
          <cell r="D84" t="str">
            <v>WCD</v>
          </cell>
          <cell r="E84" t="str">
            <v>Web Client Development</v>
          </cell>
          <cell r="F84" t="str">
            <v>Nil</v>
          </cell>
          <cell r="G84">
            <v>7</v>
          </cell>
          <cell r="H84">
            <v>0</v>
          </cell>
          <cell r="I84">
            <v>37.5</v>
          </cell>
          <cell r="J84">
            <v>37.5</v>
          </cell>
          <cell r="K84">
            <v>0</v>
          </cell>
          <cell r="L84">
            <v>75</v>
          </cell>
          <cell r="M84">
            <v>5</v>
          </cell>
        </row>
        <row r="85">
          <cell r="A85" t="str">
            <v>ST1010</v>
          </cell>
          <cell r="B85" t="str">
            <v>IT</v>
          </cell>
          <cell r="C85" t="str">
            <v>DISM</v>
          </cell>
          <cell r="D85" t="str">
            <v>NETF</v>
          </cell>
          <cell r="E85" t="str">
            <v>Network Fundamentals</v>
          </cell>
          <cell r="F85" t="str">
            <v>Nil</v>
          </cell>
          <cell r="G85">
            <v>1</v>
          </cell>
          <cell r="H85">
            <v>0</v>
          </cell>
          <cell r="I85">
            <v>60</v>
          </cell>
          <cell r="J85">
            <v>0</v>
          </cell>
          <cell r="K85">
            <v>0</v>
          </cell>
          <cell r="L85">
            <v>60</v>
          </cell>
          <cell r="M85">
            <v>4</v>
          </cell>
        </row>
        <row r="86">
          <cell r="A86" t="str">
            <v>ST1011</v>
          </cell>
          <cell r="B86" t="str">
            <v>IT</v>
          </cell>
          <cell r="C86" t="str">
            <v>DIT</v>
          </cell>
          <cell r="D86" t="str">
            <v>APPD</v>
          </cell>
          <cell r="E86" t="str">
            <v>Application Development</v>
          </cell>
          <cell r="F86" t="str">
            <v>PROG (T)</v>
          </cell>
          <cell r="G86">
            <v>7</v>
          </cell>
          <cell r="H86">
            <v>0</v>
          </cell>
          <cell r="I86">
            <v>37.5</v>
          </cell>
          <cell r="J86">
            <v>37.5</v>
          </cell>
          <cell r="K86">
            <v>0</v>
          </cell>
          <cell r="L86">
            <v>75</v>
          </cell>
          <cell r="M86">
            <v>5</v>
          </cell>
        </row>
        <row r="87">
          <cell r="A87" t="str">
            <v>ST1012</v>
          </cell>
          <cell r="B87" t="str">
            <v>IT</v>
          </cell>
          <cell r="C87" t="str">
            <v>DIT</v>
          </cell>
          <cell r="D87" t="str">
            <v>PROG</v>
          </cell>
          <cell r="E87" t="str">
            <v>Programming Fundamentals</v>
          </cell>
          <cell r="F87" t="str">
            <v>Nil</v>
          </cell>
          <cell r="G87">
            <v>1</v>
          </cell>
          <cell r="H87">
            <v>0</v>
          </cell>
          <cell r="I87">
            <v>30</v>
          </cell>
          <cell r="J87">
            <v>60</v>
          </cell>
          <cell r="K87">
            <v>0</v>
          </cell>
          <cell r="L87">
            <v>90</v>
          </cell>
          <cell r="M87">
            <v>6</v>
          </cell>
        </row>
        <row r="88">
          <cell r="A88" t="str">
            <v>ST1501</v>
          </cell>
          <cell r="B88" t="str">
            <v>IT</v>
          </cell>
          <cell r="C88" t="str">
            <v>DAAA</v>
          </cell>
          <cell r="D88" t="str">
            <v>DENG</v>
          </cell>
          <cell r="E88" t="str">
            <v>Data Engineering</v>
          </cell>
          <cell r="F88" t="str">
            <v>Nil</v>
          </cell>
          <cell r="G88" t="str">
            <v> 7</v>
          </cell>
          <cell r="H88">
            <v>0</v>
          </cell>
          <cell r="I88">
            <v>30</v>
          </cell>
          <cell r="J88">
            <v>45</v>
          </cell>
          <cell r="K88">
            <v>0</v>
          </cell>
          <cell r="L88">
            <v>75</v>
          </cell>
          <cell r="M88">
            <v>5</v>
          </cell>
        </row>
        <row r="89">
          <cell r="A89" t="str">
            <v>ST1502</v>
          </cell>
          <cell r="B89" t="str">
            <v>IT</v>
          </cell>
          <cell r="C89" t="str">
            <v>DIT</v>
          </cell>
          <cell r="D89" t="str">
            <v>DAVI</v>
          </cell>
          <cell r="E89" t="str">
            <v>Data Visualisation</v>
          </cell>
          <cell r="F89" t="str">
            <v>Nil</v>
          </cell>
          <cell r="G89" t="str">
            <v> 7</v>
          </cell>
          <cell r="H89">
            <v>0</v>
          </cell>
          <cell r="I89">
            <v>30</v>
          </cell>
          <cell r="J89">
            <v>30</v>
          </cell>
          <cell r="K89">
            <v>0</v>
          </cell>
          <cell r="L89">
            <v>60</v>
          </cell>
          <cell r="M89">
            <v>4</v>
          </cell>
        </row>
        <row r="90">
          <cell r="A90" t="str">
            <v>ST1503</v>
          </cell>
          <cell r="B90" t="str">
            <v>IT</v>
          </cell>
          <cell r="C90" t="str">
            <v>DIT</v>
          </cell>
          <cell r="D90" t="str">
            <v>FSP</v>
          </cell>
          <cell r="E90" t="str">
            <v>Fullstack Web Development Project</v>
          </cell>
          <cell r="F90" t="str">
            <v>ST0503 (Taken)</v>
          </cell>
          <cell r="G90" t="str">
            <v> 7</v>
          </cell>
          <cell r="H90">
            <v>0</v>
          </cell>
          <cell r="I90">
            <v>60</v>
          </cell>
          <cell r="J90">
            <v>0</v>
          </cell>
          <cell r="K90">
            <v>0</v>
          </cell>
          <cell r="L90">
            <v>60</v>
          </cell>
          <cell r="M90">
            <v>4</v>
          </cell>
        </row>
        <row r="91">
          <cell r="A91" t="str">
            <v>ST1504</v>
          </cell>
          <cell r="B91" t="str">
            <v>IT</v>
          </cell>
          <cell r="C91" t="str">
            <v>DAAA</v>
          </cell>
          <cell r="D91" t="str">
            <v>DELE </v>
          </cell>
          <cell r="E91" t="str">
            <v>Deep Learning</v>
          </cell>
          <cell r="F91" t="str">
            <v>Nil</v>
          </cell>
          <cell r="G91">
            <v>7</v>
          </cell>
          <cell r="H91">
            <v>0</v>
          </cell>
          <cell r="I91">
            <v>30</v>
          </cell>
          <cell r="J91">
            <v>45</v>
          </cell>
          <cell r="K91">
            <v>0</v>
          </cell>
          <cell r="L91">
            <v>75</v>
          </cell>
          <cell r="M91">
            <v>5</v>
          </cell>
        </row>
        <row r="92">
          <cell r="A92" t="str">
            <v>ST1505</v>
          </cell>
          <cell r="B92" t="str">
            <v>IT</v>
          </cell>
          <cell r="C92" t="str">
            <v>DAAA</v>
          </cell>
          <cell r="D92" t="str">
            <v>DOAA</v>
          </cell>
          <cell r="E92" t="str">
            <v>DevOps &amp; Automation for AI </v>
          </cell>
          <cell r="F92" t="str">
            <v>Nil</v>
          </cell>
          <cell r="G92">
            <v>7</v>
          </cell>
          <cell r="H92">
            <v>0</v>
          </cell>
          <cell r="I92">
            <v>30</v>
          </cell>
          <cell r="J92">
            <v>30</v>
          </cell>
          <cell r="K92">
            <v>0</v>
          </cell>
          <cell r="L92">
            <v>60</v>
          </cell>
          <cell r="M92">
            <v>4</v>
          </cell>
        </row>
        <row r="93">
          <cell r="A93" t="str">
            <v>ST1506</v>
          </cell>
          <cell r="B93" t="str">
            <v>IT</v>
          </cell>
          <cell r="C93" t="str">
            <v>DIT</v>
          </cell>
          <cell r="D93" t="str">
            <v>DSDA</v>
          </cell>
          <cell r="E93" t="str">
            <v>DSDP Project</v>
          </cell>
          <cell r="F93" t="str">
            <v>Taken ST0501 &amp; ST0502 or ST0503 or ST1503 </v>
          </cell>
          <cell r="G93">
            <v>7</v>
          </cell>
          <cell r="H93">
            <v>0</v>
          </cell>
          <cell r="I93">
            <v>22.5</v>
          </cell>
          <cell r="J93">
            <v>0</v>
          </cell>
          <cell r="K93">
            <v>247.5</v>
          </cell>
          <cell r="L93">
            <v>270</v>
          </cell>
          <cell r="M93">
            <v>18</v>
          </cell>
        </row>
        <row r="94">
          <cell r="A94" t="str">
            <v>ST1507</v>
          </cell>
          <cell r="B94" t="str">
            <v>IT</v>
          </cell>
          <cell r="C94" t="str">
            <v>DAAA</v>
          </cell>
          <cell r="D94" t="str">
            <v>DSAA</v>
          </cell>
          <cell r="E94" t="str">
            <v xml:space="preserve">Data Structures &amp; Algorithm (AI)            </v>
          </cell>
          <cell r="F94" t="str">
            <v>Nil</v>
          </cell>
          <cell r="G94">
            <v>7</v>
          </cell>
          <cell r="H94">
            <v>0</v>
          </cell>
          <cell r="I94">
            <v>30</v>
          </cell>
          <cell r="J94">
            <v>30</v>
          </cell>
          <cell r="K94">
            <v>0</v>
          </cell>
          <cell r="L94">
            <v>60</v>
          </cell>
          <cell r="M94">
            <v>4</v>
          </cell>
        </row>
        <row r="95">
          <cell r="A95" t="str">
            <v>ST1508</v>
          </cell>
          <cell r="B95" t="str">
            <v>IT</v>
          </cell>
          <cell r="C95" t="str">
            <v>DAAA</v>
          </cell>
          <cell r="D95" t="str">
            <v>PAI</v>
          </cell>
          <cell r="E95" t="str">
            <v>Practice AI</v>
          </cell>
          <cell r="F95" t="str">
            <v>Nil</v>
          </cell>
          <cell r="G95">
            <v>7</v>
          </cell>
          <cell r="H95">
            <v>0</v>
          </cell>
          <cell r="I95">
            <v>30</v>
          </cell>
          <cell r="J95">
            <v>30</v>
          </cell>
          <cell r="K95">
            <v>0</v>
          </cell>
          <cell r="L95">
            <v>60</v>
          </cell>
          <cell r="M95">
            <v>4</v>
          </cell>
        </row>
        <row r="96">
          <cell r="A96" t="str">
            <v>ST1510</v>
          </cell>
          <cell r="B96" t="str">
            <v>IT</v>
          </cell>
          <cell r="C96" t="str">
            <v>DAAA</v>
          </cell>
          <cell r="D96" t="str">
            <v>PDAS</v>
          </cell>
          <cell r="E96" t="str">
            <v xml:space="preserve">Programming for Data Analytics               </v>
          </cell>
          <cell r="F96" t="str">
            <v>Nil</v>
          </cell>
          <cell r="G96">
            <v>7</v>
          </cell>
          <cell r="H96">
            <v>0</v>
          </cell>
          <cell r="I96">
            <v>30</v>
          </cell>
          <cell r="J96">
            <v>45</v>
          </cell>
          <cell r="K96">
            <v>0</v>
          </cell>
          <cell r="L96">
            <v>75</v>
          </cell>
          <cell r="M96">
            <v>5</v>
          </cell>
        </row>
        <row r="97">
          <cell r="A97" t="str">
            <v>ST1511</v>
          </cell>
          <cell r="B97" t="str">
            <v>IT</v>
          </cell>
          <cell r="C97" t="str">
            <v>DAAA</v>
          </cell>
          <cell r="D97" t="str">
            <v>AIML</v>
          </cell>
          <cell r="E97" t="str">
            <v>AI &amp; Machine Learning</v>
          </cell>
          <cell r="F97" t="str">
            <v>Nil</v>
          </cell>
          <cell r="G97">
            <v>7</v>
          </cell>
          <cell r="H97">
            <v>0</v>
          </cell>
          <cell r="I97">
            <v>30</v>
          </cell>
          <cell r="J97">
            <v>45</v>
          </cell>
          <cell r="K97">
            <v>0</v>
          </cell>
          <cell r="L97">
            <v>75</v>
          </cell>
          <cell r="M97">
            <v>5</v>
          </cell>
        </row>
        <row r="98">
          <cell r="A98" t="str">
            <v>ST2107</v>
          </cell>
          <cell r="B98" t="str">
            <v>DM</v>
          </cell>
          <cell r="C98" t="str">
            <v>DBIT</v>
          </cell>
          <cell r="D98" t="str">
            <v>DMB</v>
          </cell>
          <cell r="E98" t="str">
            <v>Digital Media for Business</v>
          </cell>
          <cell r="F98" t="str">
            <v>Nil</v>
          </cell>
          <cell r="G98">
            <v>7</v>
          </cell>
          <cell r="H98">
            <v>0</v>
          </cell>
          <cell r="I98">
            <v>45</v>
          </cell>
          <cell r="J98">
            <v>30</v>
          </cell>
          <cell r="K98">
            <v>0</v>
          </cell>
          <cell r="L98">
            <v>75</v>
          </cell>
          <cell r="M98">
            <v>5</v>
          </cell>
        </row>
        <row r="99">
          <cell r="A99" t="str">
            <v>ST2108</v>
          </cell>
          <cell r="B99" t="str">
            <v>IT</v>
          </cell>
          <cell r="C99" t="str">
            <v>DBIT</v>
          </cell>
          <cell r="D99" t="str">
            <v>BMB</v>
          </cell>
          <cell r="E99" t="str">
            <v>Business Marketing and Branding</v>
          </cell>
          <cell r="F99" t="str">
            <v>Nil</v>
          </cell>
          <cell r="G99">
            <v>7</v>
          </cell>
          <cell r="H99">
            <v>0</v>
          </cell>
          <cell r="I99">
            <v>15</v>
          </cell>
          <cell r="J99">
            <v>45</v>
          </cell>
          <cell r="K99">
            <v>0</v>
          </cell>
          <cell r="L99">
            <v>60</v>
          </cell>
          <cell r="M99">
            <v>4</v>
          </cell>
        </row>
        <row r="100">
          <cell r="A100" t="str">
            <v>ST2109</v>
          </cell>
          <cell r="B100" t="str">
            <v>IT</v>
          </cell>
          <cell r="C100" t="str">
            <v>DBIT</v>
          </cell>
          <cell r="D100" t="str">
            <v>BOPP</v>
          </cell>
          <cell r="E100" t="str">
            <v>Business Opportunity</v>
          </cell>
          <cell r="F100" t="str">
            <v>Nil</v>
          </cell>
          <cell r="G100">
            <v>7</v>
          </cell>
          <cell r="H100">
            <v>0</v>
          </cell>
          <cell r="I100">
            <v>15</v>
          </cell>
          <cell r="J100">
            <v>45</v>
          </cell>
          <cell r="K100">
            <v>0</v>
          </cell>
          <cell r="L100">
            <v>60</v>
          </cell>
          <cell r="M100">
            <v>4</v>
          </cell>
        </row>
        <row r="101">
          <cell r="A101" t="str">
            <v>ST2111</v>
          </cell>
          <cell r="B101" t="str">
            <v>IT</v>
          </cell>
          <cell r="C101" t="str">
            <v>DBIT</v>
          </cell>
          <cell r="D101" t="str">
            <v>MAD1</v>
          </cell>
          <cell r="E101" t="str">
            <v>Mobile Application Development 1</v>
          </cell>
          <cell r="F101" t="str">
            <v>Nil</v>
          </cell>
          <cell r="G101">
            <v>1</v>
          </cell>
          <cell r="H101">
            <v>0</v>
          </cell>
          <cell r="I101">
            <v>30</v>
          </cell>
          <cell r="J101">
            <v>45</v>
          </cell>
          <cell r="K101">
            <v>0</v>
          </cell>
          <cell r="L101">
            <v>75</v>
          </cell>
          <cell r="M101">
            <v>5</v>
          </cell>
        </row>
        <row r="102">
          <cell r="A102" t="str">
            <v>ST2219</v>
          </cell>
          <cell r="B102" t="str">
            <v>IT</v>
          </cell>
          <cell r="C102" t="str">
            <v>DIT</v>
          </cell>
          <cell r="D102" t="str">
            <v>ENBP</v>
          </cell>
          <cell r="E102" t="str">
            <v>Enterprise Business Processes</v>
          </cell>
          <cell r="F102" t="str">
            <v>Nil</v>
          </cell>
          <cell r="G102">
            <v>1</v>
          </cell>
          <cell r="H102">
            <v>0</v>
          </cell>
          <cell r="I102">
            <v>30</v>
          </cell>
          <cell r="J102">
            <v>30</v>
          </cell>
          <cell r="K102">
            <v>0</v>
          </cell>
          <cell r="L102">
            <v>60</v>
          </cell>
          <cell r="M102">
            <v>4</v>
          </cell>
        </row>
        <row r="103">
          <cell r="A103" t="str">
            <v>ST2220</v>
          </cell>
          <cell r="B103" t="str">
            <v>IT</v>
          </cell>
          <cell r="C103" t="str">
            <v>DBIT</v>
          </cell>
          <cell r="D103" t="str">
            <v>WAD</v>
          </cell>
          <cell r="E103" t="str">
            <v>Web Applications Development</v>
          </cell>
          <cell r="F103" t="str">
            <v>Nil</v>
          </cell>
          <cell r="G103">
            <v>7</v>
          </cell>
          <cell r="H103">
            <v>0</v>
          </cell>
          <cell r="I103">
            <v>30</v>
          </cell>
          <cell r="J103">
            <v>60</v>
          </cell>
          <cell r="K103">
            <v>0</v>
          </cell>
          <cell r="L103">
            <v>90</v>
          </cell>
          <cell r="M103">
            <v>6</v>
          </cell>
        </row>
        <row r="104">
          <cell r="A104" t="str">
            <v>ST2223</v>
          </cell>
          <cell r="B104" t="str">
            <v>SVC</v>
          </cell>
          <cell r="C104" t="str">
            <v>SB</v>
          </cell>
          <cell r="D104" t="str">
            <v>BPL</v>
          </cell>
          <cell r="E104" t="str">
            <v>Business Planning</v>
          </cell>
          <cell r="F104" t="str">
            <v>Nil</v>
          </cell>
          <cell r="G104">
            <v>7</v>
          </cell>
          <cell r="H104">
            <v>0</v>
          </cell>
          <cell r="I104">
            <v>15</v>
          </cell>
          <cell r="J104">
            <v>30</v>
          </cell>
          <cell r="K104">
            <v>0</v>
          </cell>
          <cell r="L104">
            <v>45</v>
          </cell>
          <cell r="M104">
            <v>3</v>
          </cell>
        </row>
        <row r="105">
          <cell r="A105" t="str">
            <v>ST2224</v>
          </cell>
          <cell r="B105" t="str">
            <v>IT</v>
          </cell>
          <cell r="C105" t="str">
            <v>DBIT</v>
          </cell>
          <cell r="D105" t="str">
            <v>SMA</v>
          </cell>
          <cell r="E105" t="str">
            <v>Social Media Analytics</v>
          </cell>
          <cell r="F105" t="str">
            <v>Nil</v>
          </cell>
          <cell r="G105">
            <v>7</v>
          </cell>
          <cell r="H105">
            <v>0</v>
          </cell>
          <cell r="I105">
            <v>30</v>
          </cell>
          <cell r="J105">
            <v>30</v>
          </cell>
          <cell r="K105">
            <v>0</v>
          </cell>
          <cell r="L105">
            <v>60</v>
          </cell>
          <cell r="M105">
            <v>4</v>
          </cell>
        </row>
        <row r="106">
          <cell r="A106" t="str">
            <v>ST2225</v>
          </cell>
          <cell r="B106" t="str">
            <v>DM</v>
          </cell>
          <cell r="C106" t="str">
            <v>DBIT</v>
          </cell>
          <cell r="D106" t="str">
            <v>IVDE</v>
          </cell>
          <cell r="E106" t="str">
            <v>Interaction and Visual Design</v>
          </cell>
          <cell r="F106" t="str">
            <v>Nil</v>
          </cell>
          <cell r="G106">
            <v>7</v>
          </cell>
          <cell r="H106">
            <v>0</v>
          </cell>
          <cell r="I106">
            <v>45</v>
          </cell>
          <cell r="J106">
            <v>30</v>
          </cell>
          <cell r="K106">
            <v>0</v>
          </cell>
          <cell r="L106">
            <v>75</v>
          </cell>
          <cell r="M106">
            <v>5</v>
          </cell>
        </row>
        <row r="107">
          <cell r="A107" t="str">
            <v>ST2226</v>
          </cell>
          <cell r="B107" t="str">
            <v>IT</v>
          </cell>
          <cell r="C107" t="str">
            <v>DBIT</v>
          </cell>
          <cell r="D107" t="str">
            <v>MAD2</v>
          </cell>
          <cell r="E107" t="str">
            <v>Mobile Application Development 2</v>
          </cell>
          <cell r="F107" t="str">
            <v>ST2111</v>
          </cell>
          <cell r="G107">
            <v>7</v>
          </cell>
          <cell r="H107">
            <v>0</v>
          </cell>
          <cell r="I107">
            <v>30</v>
          </cell>
          <cell r="J107">
            <v>45</v>
          </cell>
          <cell r="K107">
            <v>0</v>
          </cell>
          <cell r="L107">
            <v>75</v>
          </cell>
          <cell r="M107">
            <v>5</v>
          </cell>
        </row>
        <row r="108">
          <cell r="A108" t="str">
            <v>ST2227</v>
          </cell>
          <cell r="B108" t="str">
            <v>IT</v>
          </cell>
          <cell r="C108" t="str">
            <v>DBIT</v>
          </cell>
          <cell r="D108" t="str">
            <v>BA</v>
          </cell>
          <cell r="E108" t="str">
            <v>Business Analytics</v>
          </cell>
          <cell r="F108" t="str">
            <v>Nil</v>
          </cell>
          <cell r="G108">
            <v>1</v>
          </cell>
          <cell r="H108">
            <v>0</v>
          </cell>
          <cell r="I108">
            <v>30</v>
          </cell>
          <cell r="J108">
            <v>30</v>
          </cell>
          <cell r="K108">
            <v>0</v>
          </cell>
          <cell r="L108">
            <v>60</v>
          </cell>
          <cell r="M108">
            <v>4</v>
          </cell>
        </row>
        <row r="109">
          <cell r="A109" t="str">
            <v>ST2228</v>
          </cell>
          <cell r="B109" t="str">
            <v>IT</v>
          </cell>
          <cell r="C109" t="str">
            <v>DBIT</v>
          </cell>
          <cell r="D109" t="str">
            <v>WMA</v>
          </cell>
          <cell r="E109" t="str">
            <v>Web and Mobile Analytics</v>
          </cell>
          <cell r="F109" t="str">
            <v>Nil</v>
          </cell>
          <cell r="G109">
            <v>1</v>
          </cell>
          <cell r="H109">
            <v>15</v>
          </cell>
          <cell r="I109">
            <v>15</v>
          </cell>
          <cell r="J109">
            <v>30</v>
          </cell>
          <cell r="K109">
            <v>0</v>
          </cell>
          <cell r="L109">
            <v>60</v>
          </cell>
          <cell r="M109">
            <v>4</v>
          </cell>
        </row>
        <row r="110">
          <cell r="A110" t="str">
            <v>ST2230</v>
          </cell>
          <cell r="B110" t="str">
            <v>IT</v>
          </cell>
          <cell r="C110" t="str">
            <v>DBIT</v>
          </cell>
          <cell r="D110" t="str">
            <v>DA</v>
          </cell>
          <cell r="E110" t="str">
            <v>Digital Analytics</v>
          </cell>
          <cell r="F110" t="str">
            <v>Nil</v>
          </cell>
          <cell r="G110">
            <v>1</v>
          </cell>
          <cell r="H110">
            <v>0</v>
          </cell>
          <cell r="I110">
            <v>30</v>
          </cell>
          <cell r="J110">
            <v>30</v>
          </cell>
          <cell r="K110">
            <v>0</v>
          </cell>
          <cell r="L110">
            <v>60</v>
          </cell>
          <cell r="M110">
            <v>4</v>
          </cell>
        </row>
        <row r="111">
          <cell r="A111" t="str">
            <v>ST2302</v>
          </cell>
          <cell r="B111" t="str">
            <v>RSS</v>
          </cell>
          <cell r="C111" t="str">
            <v>AS</v>
          </cell>
          <cell r="D111" t="str">
            <v>INTS</v>
          </cell>
          <cell r="E111" t="str">
            <v>Internship</v>
          </cell>
          <cell r="F111" t="str">
            <v>Nil</v>
          </cell>
          <cell r="G111">
            <v>7</v>
          </cell>
          <cell r="H111">
            <v>0</v>
          </cell>
          <cell r="I111">
            <v>0</v>
          </cell>
          <cell r="J111">
            <v>7.5</v>
          </cell>
          <cell r="K111">
            <v>0</v>
          </cell>
          <cell r="L111">
            <v>7.5</v>
          </cell>
          <cell r="M111">
            <v>0.5</v>
          </cell>
        </row>
        <row r="112">
          <cell r="A112" t="str">
            <v>ST2312</v>
          </cell>
          <cell r="B112" t="str">
            <v>IT</v>
          </cell>
          <cell r="C112" t="str">
            <v>DBIT</v>
          </cell>
          <cell r="D112" t="str">
            <v>BI</v>
          </cell>
          <cell r="E112" t="str">
            <v>Business Intelligence</v>
          </cell>
          <cell r="F112" t="str">
            <v>Nil</v>
          </cell>
          <cell r="G112">
            <v>7</v>
          </cell>
          <cell r="H112">
            <v>0</v>
          </cell>
          <cell r="I112">
            <v>30</v>
          </cell>
          <cell r="J112">
            <v>30</v>
          </cell>
          <cell r="K112">
            <v>0</v>
          </cell>
          <cell r="L112">
            <v>60</v>
          </cell>
          <cell r="M112">
            <v>4</v>
          </cell>
        </row>
        <row r="113">
          <cell r="A113" t="str">
            <v>ST2313</v>
          </cell>
          <cell r="B113" t="str">
            <v>IT</v>
          </cell>
          <cell r="C113" t="str">
            <v>PJ</v>
          </cell>
          <cell r="D113" t="str">
            <v>EBP</v>
          </cell>
          <cell r="E113" t="str">
            <v>Electronic Business Project</v>
          </cell>
          <cell r="F113" t="str">
            <v>ST0278, ST2220</v>
          </cell>
          <cell r="G113">
            <v>7</v>
          </cell>
          <cell r="H113">
            <v>0</v>
          </cell>
          <cell r="I113">
            <v>15</v>
          </cell>
          <cell r="J113">
            <v>0</v>
          </cell>
          <cell r="K113">
            <v>180</v>
          </cell>
          <cell r="L113">
            <v>195</v>
          </cell>
          <cell r="M113">
            <v>13</v>
          </cell>
        </row>
        <row r="114">
          <cell r="A114" t="str">
            <v>ST2315</v>
          </cell>
          <cell r="B114" t="str">
            <v>IT</v>
          </cell>
          <cell r="C114" t="str">
            <v>DBIT</v>
          </cell>
          <cell r="D114" t="str">
            <v>WMA</v>
          </cell>
          <cell r="E114" t="str">
            <v>Web and Mobile Analytics</v>
          </cell>
          <cell r="F114" t="str">
            <v>Nil</v>
          </cell>
          <cell r="G114">
            <v>7</v>
          </cell>
          <cell r="H114">
            <v>15</v>
          </cell>
          <cell r="I114">
            <v>15</v>
          </cell>
          <cell r="J114">
            <v>30</v>
          </cell>
          <cell r="K114">
            <v>0</v>
          </cell>
          <cell r="L114">
            <v>60</v>
          </cell>
          <cell r="M114">
            <v>4</v>
          </cell>
        </row>
        <row r="115">
          <cell r="A115" t="str">
            <v>ST2316</v>
          </cell>
          <cell r="B115" t="str">
            <v>IT</v>
          </cell>
          <cell r="C115" t="str">
            <v>DBIT</v>
          </cell>
          <cell r="D115" t="str">
            <v>BA</v>
          </cell>
          <cell r="E115" t="str">
            <v>Business Analytics</v>
          </cell>
          <cell r="F115" t="str">
            <v>Nil</v>
          </cell>
          <cell r="G115">
            <v>7</v>
          </cell>
          <cell r="H115">
            <v>0</v>
          </cell>
          <cell r="I115">
            <v>30</v>
          </cell>
          <cell r="J115">
            <v>30</v>
          </cell>
          <cell r="K115">
            <v>0</v>
          </cell>
          <cell r="L115">
            <v>60</v>
          </cell>
          <cell r="M115">
            <v>4</v>
          </cell>
        </row>
        <row r="116">
          <cell r="A116" t="str">
            <v>ST2317</v>
          </cell>
          <cell r="B116" t="str">
            <v>IT</v>
          </cell>
          <cell r="C116" t="str">
            <v>DBIT</v>
          </cell>
          <cell r="D116" t="str">
            <v>ENT</v>
          </cell>
          <cell r="E116" t="str">
            <v>Entrepreneurship</v>
          </cell>
          <cell r="F116" t="str">
            <v>Nil</v>
          </cell>
          <cell r="G116">
            <v>7</v>
          </cell>
          <cell r="H116">
            <v>0</v>
          </cell>
          <cell r="I116">
            <v>45</v>
          </cell>
          <cell r="J116">
            <v>0</v>
          </cell>
          <cell r="K116">
            <v>0</v>
          </cell>
          <cell r="L116">
            <v>45</v>
          </cell>
          <cell r="M116">
            <v>3</v>
          </cell>
        </row>
        <row r="117">
          <cell r="A117" t="str">
            <v>ST2320</v>
          </cell>
          <cell r="B117" t="str">
            <v>IT</v>
          </cell>
          <cell r="C117" t="str">
            <v>DBIT</v>
          </cell>
          <cell r="D117" t="str">
            <v>FYP</v>
          </cell>
          <cell r="E117" t="str">
            <v>Final Year Project</v>
          </cell>
          <cell r="F117" t="str">
            <v>ST2220</v>
          </cell>
          <cell r="G117">
            <v>7</v>
          </cell>
          <cell r="H117">
            <v>7.5</v>
          </cell>
          <cell r="I117">
            <v>22.5</v>
          </cell>
          <cell r="J117">
            <v>0</v>
          </cell>
          <cell r="K117">
            <v>180</v>
          </cell>
          <cell r="L117">
            <v>210</v>
          </cell>
          <cell r="M117">
            <v>14</v>
          </cell>
        </row>
        <row r="118">
          <cell r="A118" t="str">
            <v>ST2321</v>
          </cell>
          <cell r="B118" t="str">
            <v>DM</v>
          </cell>
          <cell r="C118" t="str">
            <v>DBIT</v>
          </cell>
          <cell r="D118" t="str">
            <v>IGRA</v>
          </cell>
          <cell r="E118" t="str">
            <v>Infographics</v>
          </cell>
          <cell r="F118" t="str">
            <v>ST2225,
ST2107</v>
          </cell>
          <cell r="G118">
            <v>7</v>
          </cell>
          <cell r="H118">
            <v>0</v>
          </cell>
          <cell r="I118">
            <v>30</v>
          </cell>
          <cell r="J118">
            <v>30</v>
          </cell>
          <cell r="K118">
            <v>0</v>
          </cell>
          <cell r="L118">
            <v>60</v>
          </cell>
          <cell r="M118">
            <v>4</v>
          </cell>
        </row>
        <row r="119">
          <cell r="A119" t="str">
            <v>ST2322</v>
          </cell>
          <cell r="B119" t="str">
            <v>IT</v>
          </cell>
          <cell r="C119" t="str">
            <v>DBIT</v>
          </cell>
          <cell r="D119" t="str">
            <v>PA</v>
          </cell>
          <cell r="E119" t="str">
            <v>Predictive Analytics</v>
          </cell>
          <cell r="F119" t="str">
            <v>Nil</v>
          </cell>
          <cell r="G119">
            <v>7</v>
          </cell>
          <cell r="H119">
            <v>0</v>
          </cell>
          <cell r="I119">
            <v>30</v>
          </cell>
          <cell r="J119">
            <v>30</v>
          </cell>
          <cell r="K119">
            <v>0</v>
          </cell>
          <cell r="L119">
            <v>60</v>
          </cell>
          <cell r="M119">
            <v>4</v>
          </cell>
        </row>
        <row r="120">
          <cell r="A120" t="str">
            <v>ST2323</v>
          </cell>
          <cell r="B120" t="str">
            <v>IT</v>
          </cell>
          <cell r="C120" t="str">
            <v>PJ</v>
          </cell>
          <cell r="D120" t="str">
            <v>WSPDBIT</v>
          </cell>
          <cell r="E120" t="str">
            <v>Work Study Project (DBIT)</v>
          </cell>
          <cell r="F120" t="str">
            <v>Taken -&gt; (ST2220 or ST2224 or ST2226 or ST2227 or ST2312)</v>
          </cell>
          <cell r="G120">
            <v>7</v>
          </cell>
          <cell r="H120">
            <v>0</v>
          </cell>
          <cell r="I120">
            <v>0</v>
          </cell>
          <cell r="J120">
            <v>0</v>
          </cell>
          <cell r="K120">
            <v>270</v>
          </cell>
          <cell r="L120">
            <v>270</v>
          </cell>
          <cell r="M120">
            <v>18</v>
          </cell>
        </row>
        <row r="121">
          <cell r="A121" t="str">
            <v>ST2410</v>
          </cell>
          <cell r="B121" t="str">
            <v>IT</v>
          </cell>
          <cell r="C121" t="str">
            <v>DISM</v>
          </cell>
          <cell r="D121" t="str">
            <v>CAOS</v>
          </cell>
          <cell r="E121" t="str">
            <v>Computer Architecture and Operating Systems</v>
          </cell>
          <cell r="F121" t="str">
            <v>Nil</v>
          </cell>
          <cell r="G121">
            <v>1</v>
          </cell>
          <cell r="H121">
            <v>0</v>
          </cell>
          <cell r="I121">
            <v>30</v>
          </cell>
          <cell r="J121">
            <v>45</v>
          </cell>
          <cell r="K121">
            <v>0</v>
          </cell>
          <cell r="L121">
            <v>75</v>
          </cell>
          <cell r="M121">
            <v>5</v>
          </cell>
        </row>
        <row r="122">
          <cell r="A122" t="str">
            <v>ST2411</v>
          </cell>
          <cell r="B122" t="str">
            <v>IT</v>
          </cell>
          <cell r="C122" t="str">
            <v>DISM</v>
          </cell>
          <cell r="D122" t="str">
            <v>PYC</v>
          </cell>
          <cell r="E122" t="str">
            <v>Programming in Python and C</v>
          </cell>
          <cell r="F122" t="str">
            <v>PROG (P)</v>
          </cell>
          <cell r="G122">
            <v>1</v>
          </cell>
          <cell r="H122">
            <v>15</v>
          </cell>
          <cell r="I122">
            <v>15</v>
          </cell>
          <cell r="J122">
            <v>30</v>
          </cell>
          <cell r="K122">
            <v>0</v>
          </cell>
          <cell r="L122">
            <v>60</v>
          </cell>
          <cell r="M122">
            <v>4</v>
          </cell>
        </row>
        <row r="123">
          <cell r="A123" t="str">
            <v>ST2412</v>
          </cell>
          <cell r="B123" t="str">
            <v>IT</v>
          </cell>
          <cell r="C123" t="str">
            <v>DISM</v>
          </cell>
          <cell r="D123" t="str">
            <v>LAS</v>
          </cell>
          <cell r="E123" t="str">
            <v>Linux Administration and Security</v>
          </cell>
          <cell r="F123" t="str">
            <v>Nil</v>
          </cell>
          <cell r="G123">
            <v>7</v>
          </cell>
          <cell r="H123">
            <v>0</v>
          </cell>
          <cell r="I123">
            <v>0</v>
          </cell>
          <cell r="J123">
            <v>60</v>
          </cell>
          <cell r="K123">
            <v>0</v>
          </cell>
          <cell r="L123">
            <v>60</v>
          </cell>
          <cell r="M123">
            <v>4</v>
          </cell>
        </row>
        <row r="124">
          <cell r="A124" t="str">
            <v>ST2413</v>
          </cell>
          <cell r="B124" t="str">
            <v>IT</v>
          </cell>
          <cell r="C124" t="str">
            <v>DISM</v>
          </cell>
          <cell r="D124" t="str">
            <v>FOC</v>
          </cell>
          <cell r="E124" t="str">
            <v>Fundamentals of Computing</v>
          </cell>
          <cell r="F124" t="str">
            <v>Nil</v>
          </cell>
          <cell r="G124">
            <v>7</v>
          </cell>
          <cell r="H124">
            <v>0</v>
          </cell>
          <cell r="I124">
            <v>30</v>
          </cell>
          <cell r="J124">
            <v>30</v>
          </cell>
          <cell r="K124">
            <v>0</v>
          </cell>
          <cell r="L124">
            <v>60</v>
          </cell>
          <cell r="M124">
            <v>4</v>
          </cell>
        </row>
        <row r="125">
          <cell r="A125" t="str">
            <v>ST2414</v>
          </cell>
          <cell r="B125" t="str">
            <v>IT</v>
          </cell>
          <cell r="C125" t="str">
            <v>DISM</v>
          </cell>
          <cell r="D125" t="str">
            <v>PSEC</v>
          </cell>
          <cell r="E125" t="str">
            <v>Programming in Security</v>
          </cell>
          <cell r="F125" t="str">
            <v>FOP (T)</v>
          </cell>
          <cell r="G125">
            <v>7</v>
          </cell>
          <cell r="H125">
            <v>0</v>
          </cell>
          <cell r="I125">
            <v>30</v>
          </cell>
          <cell r="J125">
            <v>30</v>
          </cell>
          <cell r="K125">
            <v>0</v>
          </cell>
          <cell r="L125">
            <v>60</v>
          </cell>
          <cell r="M125">
            <v>4</v>
          </cell>
        </row>
        <row r="126">
          <cell r="A126" t="str">
            <v>ST2415</v>
          </cell>
          <cell r="B126" t="str">
            <v>IT</v>
          </cell>
          <cell r="C126" t="str">
            <v>PJ</v>
          </cell>
          <cell r="D126" t="str">
            <v>WSP</v>
          </cell>
          <cell r="E126" t="str">
            <v>Work Study Project (DISM)</v>
          </cell>
          <cell r="F126" t="str">
            <v>Nil</v>
          </cell>
          <cell r="G126">
            <v>7</v>
          </cell>
          <cell r="H126">
            <v>0</v>
          </cell>
          <cell r="I126">
            <v>0</v>
          </cell>
          <cell r="J126">
            <v>0</v>
          </cell>
          <cell r="K126">
            <v>225</v>
          </cell>
          <cell r="L126">
            <v>225</v>
          </cell>
          <cell r="M126">
            <v>15</v>
          </cell>
        </row>
        <row r="127">
          <cell r="A127" t="str">
            <v>ST2416</v>
          </cell>
          <cell r="B127" t="str">
            <v>IT</v>
          </cell>
          <cell r="C127" t="str">
            <v>PJ</v>
          </cell>
          <cell r="D127" t="str">
            <v>MREP</v>
          </cell>
          <cell r="E127" t="str">
            <v>Malware Reverse Engineering (Project)</v>
          </cell>
          <cell r="F127" t="str">
            <v>Nil</v>
          </cell>
          <cell r="G127">
            <v>7</v>
          </cell>
          <cell r="H127">
            <v>0</v>
          </cell>
          <cell r="I127">
            <v>0</v>
          </cell>
          <cell r="J127">
            <v>0</v>
          </cell>
          <cell r="K127">
            <v>60</v>
          </cell>
          <cell r="L127">
            <v>60</v>
          </cell>
          <cell r="M127">
            <v>4</v>
          </cell>
        </row>
        <row r="128">
          <cell r="A128" t="str">
            <v>ST2417</v>
          </cell>
          <cell r="B128" t="str">
            <v>IT</v>
          </cell>
          <cell r="C128" t="str">
            <v>PJ</v>
          </cell>
          <cell r="D128" t="str">
            <v>ADES</v>
          </cell>
          <cell r="E128" t="str">
            <v>Application Development Studio (Agile)</v>
          </cell>
          <cell r="F128" t="str">
            <v>ST0503 (Taken)</v>
          </cell>
          <cell r="G128">
            <v>7</v>
          </cell>
          <cell r="H128">
            <v>0</v>
          </cell>
          <cell r="I128">
            <v>0</v>
          </cell>
          <cell r="J128">
            <v>0</v>
          </cell>
          <cell r="K128">
            <v>90</v>
          </cell>
          <cell r="L128">
            <v>90</v>
          </cell>
          <cell r="M128">
            <v>6</v>
          </cell>
        </row>
        <row r="129">
          <cell r="A129" t="str">
            <v>ST2418</v>
          </cell>
          <cell r="B129" t="str">
            <v>IT</v>
          </cell>
          <cell r="C129" t="str">
            <v>PJ</v>
          </cell>
          <cell r="D129" t="str">
            <v>DENG</v>
          </cell>
          <cell r="E129" t="str">
            <v>Data Engineering (Agile)</v>
          </cell>
          <cell r="F129" t="str">
            <v>Nil</v>
          </cell>
          <cell r="G129">
            <v>7</v>
          </cell>
          <cell r="H129">
            <v>0</v>
          </cell>
          <cell r="I129">
            <v>0</v>
          </cell>
          <cell r="J129">
            <v>0</v>
          </cell>
          <cell r="K129">
            <v>75</v>
          </cell>
          <cell r="L129">
            <v>75</v>
          </cell>
          <cell r="M129">
            <v>5</v>
          </cell>
        </row>
        <row r="130">
          <cell r="A130" t="str">
            <v>ST2501</v>
          </cell>
          <cell r="B130" t="str">
            <v>IT</v>
          </cell>
          <cell r="C130" t="str">
            <v>DIT</v>
          </cell>
          <cell r="D130" t="str">
            <v>NETS</v>
          </cell>
          <cell r="E130" t="str">
            <v>Network Security</v>
          </cell>
          <cell r="F130" t="str">
            <v>NOS (T)</v>
          </cell>
          <cell r="G130">
            <v>1</v>
          </cell>
          <cell r="H130">
            <v>22</v>
          </cell>
          <cell r="I130">
            <v>8</v>
          </cell>
          <cell r="J130">
            <v>45</v>
          </cell>
          <cell r="K130">
            <v>0</v>
          </cell>
          <cell r="L130">
            <v>75</v>
          </cell>
          <cell r="M130">
            <v>5</v>
          </cell>
        </row>
        <row r="131">
          <cell r="A131" t="str">
            <v>ST2502</v>
          </cell>
          <cell r="B131" t="str">
            <v>IT</v>
          </cell>
          <cell r="C131" t="str">
            <v>DISM</v>
          </cell>
          <cell r="D131" t="str">
            <v>CLI</v>
          </cell>
          <cell r="E131" t="str">
            <v>Computer Law and Investigation</v>
          </cell>
          <cell r="F131" t="str">
            <v>Nil</v>
          </cell>
          <cell r="G131">
            <v>1</v>
          </cell>
          <cell r="H131">
            <v>15</v>
          </cell>
          <cell r="I131">
            <v>30</v>
          </cell>
          <cell r="J131">
            <v>0</v>
          </cell>
          <cell r="K131">
            <v>0</v>
          </cell>
          <cell r="L131">
            <v>45</v>
          </cell>
          <cell r="M131">
            <v>3</v>
          </cell>
        </row>
        <row r="132">
          <cell r="A132" t="str">
            <v>ST2503</v>
          </cell>
          <cell r="B132" t="str">
            <v>IT</v>
          </cell>
          <cell r="C132" t="str">
            <v>DISM</v>
          </cell>
          <cell r="D132" t="str">
            <v>DSM</v>
          </cell>
          <cell r="E132" t="str">
            <v>Database Security and Management</v>
          </cell>
          <cell r="F132" t="str">
            <v>DBMS (T)</v>
          </cell>
          <cell r="G132">
            <v>1</v>
          </cell>
          <cell r="H132">
            <v>23</v>
          </cell>
          <cell r="I132">
            <v>7</v>
          </cell>
          <cell r="J132">
            <v>15</v>
          </cell>
          <cell r="K132">
            <v>0</v>
          </cell>
          <cell r="L132">
            <v>45</v>
          </cell>
          <cell r="M132">
            <v>3</v>
          </cell>
        </row>
        <row r="133">
          <cell r="A133" t="str">
            <v>ST2504</v>
          </cell>
          <cell r="B133" t="str">
            <v>IT</v>
          </cell>
          <cell r="C133" t="str">
            <v>DISM</v>
          </cell>
          <cell r="D133" t="str">
            <v>ACG</v>
          </cell>
          <cell r="E133" t="str">
            <v>Applied Cryptography</v>
          </cell>
          <cell r="F133" t="str">
            <v>Nil</v>
          </cell>
          <cell r="G133">
            <v>1</v>
          </cell>
          <cell r="H133">
            <v>22.5</v>
          </cell>
          <cell r="I133">
            <v>15</v>
          </cell>
          <cell r="J133">
            <v>22.5</v>
          </cell>
          <cell r="K133">
            <v>0</v>
          </cell>
          <cell r="L133">
            <v>60</v>
          </cell>
          <cell r="M133">
            <v>4</v>
          </cell>
        </row>
        <row r="134">
          <cell r="A134" t="str">
            <v>ST2510</v>
          </cell>
          <cell r="B134" t="str">
            <v>IT</v>
          </cell>
          <cell r="C134" t="str">
            <v>PJ</v>
          </cell>
          <cell r="D134" t="str">
            <v>IS1</v>
          </cell>
          <cell r="E134" t="str">
            <v>Independent Study 1</v>
          </cell>
          <cell r="F134" t="str">
            <v>Nil</v>
          </cell>
          <cell r="G134">
            <v>7</v>
          </cell>
          <cell r="H134">
            <v>0</v>
          </cell>
          <cell r="I134">
            <v>30</v>
          </cell>
          <cell r="J134">
            <v>30</v>
          </cell>
          <cell r="K134">
            <v>0</v>
          </cell>
          <cell r="L134">
            <v>60</v>
          </cell>
          <cell r="M134">
            <v>4</v>
          </cell>
        </row>
        <row r="135">
          <cell r="A135" t="str">
            <v>ST2512</v>
          </cell>
          <cell r="B135" t="str">
            <v>IT</v>
          </cell>
          <cell r="C135" t="str">
            <v>DISM</v>
          </cell>
          <cell r="D135" t="str">
            <v>PSE</v>
          </cell>
          <cell r="E135" t="str">
            <v>Programming in Security</v>
          </cell>
          <cell r="F135" t="str">
            <v>PROG (P)</v>
          </cell>
          <cell r="G135">
            <v>1</v>
          </cell>
          <cell r="H135">
            <v>15</v>
          </cell>
          <cell r="I135">
            <v>15</v>
          </cell>
          <cell r="J135">
            <v>30</v>
          </cell>
          <cell r="K135">
            <v>0</v>
          </cell>
          <cell r="L135">
            <v>60</v>
          </cell>
          <cell r="M135">
            <v>4</v>
          </cell>
        </row>
        <row r="136">
          <cell r="A136" t="str">
            <v>ST2513</v>
          </cell>
          <cell r="B136" t="str">
            <v>IT</v>
          </cell>
          <cell r="C136" t="str">
            <v>DISM</v>
          </cell>
          <cell r="D136" t="str">
            <v>MAPP</v>
          </cell>
          <cell r="E136" t="str">
            <v>Mobile Applications</v>
          </cell>
          <cell r="F136" t="str">
            <v>PROG (T)</v>
          </cell>
          <cell r="G136">
            <v>7</v>
          </cell>
          <cell r="H136">
            <v>0</v>
          </cell>
          <cell r="I136">
            <v>0</v>
          </cell>
          <cell r="J136">
            <v>60</v>
          </cell>
          <cell r="K136">
            <v>0</v>
          </cell>
          <cell r="L136">
            <v>60</v>
          </cell>
          <cell r="M136">
            <v>4</v>
          </cell>
        </row>
        <row r="137">
          <cell r="A137" t="str">
            <v>ST2514</v>
          </cell>
          <cell r="B137" t="str">
            <v>IT</v>
          </cell>
          <cell r="C137" t="str">
            <v>DISM</v>
          </cell>
          <cell r="D137" t="str">
            <v>DFI</v>
          </cell>
          <cell r="E137" t="str">
            <v>Digital Forensics and Investigation</v>
          </cell>
          <cell r="F137" t="str">
            <v>Nil</v>
          </cell>
          <cell r="G137">
            <v>1</v>
          </cell>
          <cell r="H137">
            <v>15</v>
          </cell>
          <cell r="I137">
            <v>0</v>
          </cell>
          <cell r="J137">
            <v>45</v>
          </cell>
          <cell r="K137">
            <v>0</v>
          </cell>
          <cell r="L137">
            <v>60</v>
          </cell>
          <cell r="M137">
            <v>4</v>
          </cell>
        </row>
        <row r="138">
          <cell r="A138" t="str">
            <v>ST2515</v>
          </cell>
          <cell r="B138" t="str">
            <v>IT</v>
          </cell>
          <cell r="C138" t="str">
            <v>DISM</v>
          </cell>
          <cell r="D138" t="str">
            <v>SC</v>
          </cell>
          <cell r="E138" t="str">
            <v>Secure Coding</v>
          </cell>
          <cell r="F138" t="str">
            <v>BED (T)</v>
          </cell>
          <cell r="G138">
            <v>1</v>
          </cell>
          <cell r="H138">
            <v>0</v>
          </cell>
          <cell r="I138">
            <v>30</v>
          </cell>
          <cell r="J138">
            <v>30</v>
          </cell>
          <cell r="K138">
            <v>0</v>
          </cell>
          <cell r="L138">
            <v>60</v>
          </cell>
          <cell r="M138">
            <v>4</v>
          </cell>
        </row>
        <row r="139">
          <cell r="A139" t="str">
            <v>ST251Y</v>
          </cell>
          <cell r="B139" t="str">
            <v>IT</v>
          </cell>
          <cell r="C139" t="str">
            <v>DISM</v>
          </cell>
          <cell r="D139" t="str">
            <v>EHD</v>
          </cell>
          <cell r="E139" t="str">
            <v>Ethical Hacking and Defences</v>
          </cell>
          <cell r="F139" t="str">
            <v>NETF (T),
LAS (T)</v>
          </cell>
          <cell r="G139">
            <v>7</v>
          </cell>
          <cell r="H139">
            <v>0</v>
          </cell>
          <cell r="I139">
            <v>0</v>
          </cell>
          <cell r="J139">
            <v>90</v>
          </cell>
          <cell r="K139">
            <v>0</v>
          </cell>
          <cell r="L139">
            <v>90</v>
          </cell>
          <cell r="M139">
            <v>6</v>
          </cell>
        </row>
        <row r="140">
          <cell r="A140" t="str">
            <v>ST251Z</v>
          </cell>
          <cell r="B140" t="str">
            <v>IT</v>
          </cell>
          <cell r="C140" t="str">
            <v>DISM</v>
          </cell>
          <cell r="D140" t="str">
            <v>EHD</v>
          </cell>
          <cell r="E140" t="str">
            <v>Ethical Hacking and Defences</v>
          </cell>
          <cell r="F140" t="str">
            <v>NETF (T),
LAS (T)</v>
          </cell>
          <cell r="G140">
            <v>7</v>
          </cell>
          <cell r="H140">
            <v>0</v>
          </cell>
          <cell r="I140">
            <v>0</v>
          </cell>
          <cell r="J140">
            <v>90</v>
          </cell>
          <cell r="K140">
            <v>0</v>
          </cell>
          <cell r="L140">
            <v>90</v>
          </cell>
          <cell r="M140">
            <v>6</v>
          </cell>
        </row>
        <row r="141">
          <cell r="A141" t="str">
            <v>ST2601</v>
          </cell>
          <cell r="B141" t="str">
            <v>IT</v>
          </cell>
          <cell r="C141" t="str">
            <v>DISM</v>
          </cell>
          <cell r="D141" t="str">
            <v>ITSP</v>
          </cell>
          <cell r="E141" t="str">
            <v>InfoSec Project Development and Management</v>
          </cell>
          <cell r="F141" t="str">
            <v>Nil</v>
          </cell>
          <cell r="G141">
            <v>7</v>
          </cell>
          <cell r="H141">
            <v>30</v>
          </cell>
          <cell r="I141">
            <v>22.5</v>
          </cell>
          <cell r="J141">
            <v>0</v>
          </cell>
          <cell r="K141">
            <v>112.5</v>
          </cell>
          <cell r="L141">
            <v>165</v>
          </cell>
          <cell r="M141">
            <v>11</v>
          </cell>
        </row>
        <row r="142">
          <cell r="A142" t="str">
            <v>ST2610</v>
          </cell>
          <cell r="B142" t="str">
            <v>IT</v>
          </cell>
          <cell r="C142" t="str">
            <v>DISM</v>
          </cell>
          <cell r="D142" t="str">
            <v>SPIM</v>
          </cell>
          <cell r="E142" t="str">
            <v>Security Policy and Incident Management</v>
          </cell>
          <cell r="F142" t="str">
            <v>ISEC (T), 
NETF (T)</v>
          </cell>
          <cell r="G142">
            <v>7</v>
          </cell>
          <cell r="H142">
            <v>30</v>
          </cell>
          <cell r="I142">
            <v>0</v>
          </cell>
          <cell r="J142">
            <v>30</v>
          </cell>
          <cell r="K142">
            <v>0</v>
          </cell>
          <cell r="L142">
            <v>60</v>
          </cell>
          <cell r="M142">
            <v>4</v>
          </cell>
        </row>
        <row r="143">
          <cell r="A143" t="str">
            <v>ST2612</v>
          </cell>
          <cell r="B143" t="str">
            <v>IT</v>
          </cell>
          <cell r="C143" t="str">
            <v>DISM</v>
          </cell>
          <cell r="D143" t="str">
            <v>SMW</v>
          </cell>
          <cell r="E143" t="str">
            <v>Securing Microsoft Windows</v>
          </cell>
          <cell r="F143" t="str">
            <v>Nil</v>
          </cell>
          <cell r="G143">
            <v>1</v>
          </cell>
          <cell r="H143">
            <v>30</v>
          </cell>
          <cell r="I143">
            <v>0</v>
          </cell>
          <cell r="J143">
            <v>45</v>
          </cell>
          <cell r="K143">
            <v>0</v>
          </cell>
          <cell r="L143">
            <v>75</v>
          </cell>
          <cell r="M143">
            <v>5</v>
          </cell>
        </row>
        <row r="144">
          <cell r="A144" t="str">
            <v>ST2613</v>
          </cell>
          <cell r="B144" t="str">
            <v>IT</v>
          </cell>
          <cell r="C144" t="str">
            <v>DISM</v>
          </cell>
          <cell r="D144" t="str">
            <v>SLIN</v>
          </cell>
          <cell r="E144" t="str">
            <v>Securing Linux</v>
          </cell>
          <cell r="F144" t="str">
            <v>ELSA (T)</v>
          </cell>
          <cell r="G144">
            <v>7</v>
          </cell>
          <cell r="H144">
            <v>0</v>
          </cell>
          <cell r="I144">
            <v>0</v>
          </cell>
          <cell r="J144">
            <v>60</v>
          </cell>
          <cell r="K144">
            <v>0</v>
          </cell>
          <cell r="L144">
            <v>60</v>
          </cell>
          <cell r="M144">
            <v>4</v>
          </cell>
        </row>
        <row r="145">
          <cell r="A145" t="str">
            <v>ST2615</v>
          </cell>
          <cell r="B145" t="str">
            <v>IT</v>
          </cell>
          <cell r="C145" t="str">
            <v>PJ</v>
          </cell>
          <cell r="D145" t="str">
            <v>IS2</v>
          </cell>
          <cell r="E145" t="str">
            <v>Independent Study 2</v>
          </cell>
          <cell r="F145" t="str">
            <v>Nil</v>
          </cell>
          <cell r="G145">
            <v>7</v>
          </cell>
          <cell r="H145">
            <v>0</v>
          </cell>
          <cell r="I145">
            <v>30</v>
          </cell>
          <cell r="J145">
            <v>30</v>
          </cell>
          <cell r="K145">
            <v>0</v>
          </cell>
          <cell r="L145">
            <v>60</v>
          </cell>
          <cell r="M145">
            <v>4</v>
          </cell>
        </row>
        <row r="146">
          <cell r="A146" t="str">
            <v>ST2617</v>
          </cell>
          <cell r="B146" t="str">
            <v>IT</v>
          </cell>
          <cell r="C146" t="str">
            <v>DISM</v>
          </cell>
          <cell r="D146" t="str">
            <v>MRE</v>
          </cell>
          <cell r="E146" t="str">
            <v xml:space="preserve">Malware Reverse Engineering </v>
          </cell>
          <cell r="F146" t="str">
            <v>Nil</v>
          </cell>
          <cell r="G146">
            <v>7</v>
          </cell>
          <cell r="H146">
            <v>0</v>
          </cell>
          <cell r="I146">
            <v>0</v>
          </cell>
          <cell r="J146">
            <v>60</v>
          </cell>
          <cell r="K146">
            <v>0</v>
          </cell>
          <cell r="L146">
            <v>60</v>
          </cell>
          <cell r="M146">
            <v>4</v>
          </cell>
        </row>
        <row r="147">
          <cell r="A147" t="str">
            <v>ST291Y</v>
          </cell>
          <cell r="B147" t="str">
            <v>IT</v>
          </cell>
          <cell r="C147" t="str">
            <v>DIT</v>
          </cell>
          <cell r="D147" t="str">
            <v>LDSS</v>
          </cell>
          <cell r="E147" t="str">
            <v>3D Level Design &amp; Scripting Studio</v>
          </cell>
          <cell r="F147" t="str">
            <v>Nil</v>
          </cell>
          <cell r="G147">
            <v>7</v>
          </cell>
          <cell r="H147">
            <v>0</v>
          </cell>
          <cell r="I147">
            <v>75</v>
          </cell>
          <cell r="J147">
            <v>0</v>
          </cell>
          <cell r="K147">
            <v>0</v>
          </cell>
          <cell r="L147">
            <v>75</v>
          </cell>
          <cell r="M147">
            <v>5</v>
          </cell>
        </row>
        <row r="148">
          <cell r="A148" t="str">
            <v>ST291Z</v>
          </cell>
          <cell r="B148" t="str">
            <v>IT</v>
          </cell>
          <cell r="C148" t="str">
            <v>DIT</v>
          </cell>
          <cell r="D148" t="str">
            <v>LDSS</v>
          </cell>
          <cell r="E148" t="str">
            <v>3D Level Design &amp; Scripting Studio</v>
          </cell>
          <cell r="F148" t="str">
            <v>Nil</v>
          </cell>
          <cell r="G148">
            <v>7</v>
          </cell>
          <cell r="H148">
            <v>0</v>
          </cell>
          <cell r="I148">
            <v>75</v>
          </cell>
          <cell r="J148">
            <v>0</v>
          </cell>
          <cell r="K148">
            <v>0</v>
          </cell>
          <cell r="L148">
            <v>75</v>
          </cell>
          <cell r="M148">
            <v>5</v>
          </cell>
        </row>
        <row r="149">
          <cell r="A149" t="str">
            <v>ST292Y</v>
          </cell>
          <cell r="B149" t="str">
            <v>IT</v>
          </cell>
          <cell r="C149" t="str">
            <v>DIT</v>
          </cell>
          <cell r="D149" t="str">
            <v>GDS</v>
          </cell>
          <cell r="E149" t="str">
            <v>3D Game Development Studio</v>
          </cell>
          <cell r="F149" t="str">
            <v>Nil</v>
          </cell>
          <cell r="G149">
            <v>7</v>
          </cell>
          <cell r="H149">
            <v>0</v>
          </cell>
          <cell r="I149">
            <v>75</v>
          </cell>
          <cell r="J149">
            <v>0</v>
          </cell>
          <cell r="K149">
            <v>0</v>
          </cell>
          <cell r="L149">
            <v>75</v>
          </cell>
          <cell r="M149">
            <v>5</v>
          </cell>
        </row>
        <row r="150">
          <cell r="A150" t="str">
            <v>ST292Z</v>
          </cell>
          <cell r="B150" t="str">
            <v>IT</v>
          </cell>
          <cell r="C150" t="str">
            <v>DIT</v>
          </cell>
          <cell r="D150" t="str">
            <v>GDS</v>
          </cell>
          <cell r="E150" t="str">
            <v>3D Game Development Studio</v>
          </cell>
          <cell r="F150" t="str">
            <v>Nil</v>
          </cell>
          <cell r="G150">
            <v>7</v>
          </cell>
          <cell r="H150">
            <v>0</v>
          </cell>
          <cell r="I150">
            <v>75</v>
          </cell>
          <cell r="J150">
            <v>0</v>
          </cell>
          <cell r="K150">
            <v>0</v>
          </cell>
          <cell r="L150">
            <v>75</v>
          </cell>
          <cell r="M150">
            <v>5</v>
          </cell>
        </row>
        <row r="151">
          <cell r="A151" t="str">
            <v>ST293Y</v>
          </cell>
          <cell r="B151" t="str">
            <v>IT</v>
          </cell>
          <cell r="C151" t="str">
            <v>DIT</v>
          </cell>
          <cell r="D151" t="str">
            <v>SEP</v>
          </cell>
          <cell r="E151" t="str">
            <v>Software Engineering Practice</v>
          </cell>
          <cell r="F151" t="str">
            <v>Nil</v>
          </cell>
          <cell r="G151">
            <v>7</v>
          </cell>
          <cell r="H151">
            <v>0</v>
          </cell>
          <cell r="I151">
            <v>30</v>
          </cell>
          <cell r="J151">
            <v>45</v>
          </cell>
          <cell r="K151">
            <v>0</v>
          </cell>
          <cell r="L151">
            <v>75</v>
          </cell>
          <cell r="M151">
            <v>5</v>
          </cell>
        </row>
        <row r="152">
          <cell r="A152" t="str">
            <v>ST293Z</v>
          </cell>
          <cell r="B152" t="str">
            <v>IT</v>
          </cell>
          <cell r="C152" t="str">
            <v>DIT</v>
          </cell>
          <cell r="D152" t="str">
            <v>SEP</v>
          </cell>
          <cell r="E152" t="str">
            <v>Software Engineering Practice</v>
          </cell>
          <cell r="F152" t="str">
            <v>Nil</v>
          </cell>
          <cell r="G152">
            <v>7</v>
          </cell>
          <cell r="H152">
            <v>0</v>
          </cell>
          <cell r="I152">
            <v>30</v>
          </cell>
          <cell r="J152">
            <v>45</v>
          </cell>
          <cell r="K152">
            <v>0</v>
          </cell>
          <cell r="L152">
            <v>75</v>
          </cell>
          <cell r="M152">
            <v>5</v>
          </cell>
        </row>
        <row r="153">
          <cell r="A153" t="str">
            <v>ST3001</v>
          </cell>
          <cell r="B153" t="str">
            <v>IT</v>
          </cell>
          <cell r="C153" t="str">
            <v>DIT</v>
          </cell>
          <cell r="D153" t="str">
            <v>WSB</v>
          </cell>
          <cell r="E153" t="str">
            <v>Web Stack for Business</v>
          </cell>
          <cell r="F153" t="str">
            <v>Nil</v>
          </cell>
          <cell r="G153">
            <v>7</v>
          </cell>
          <cell r="H153">
            <v>0</v>
          </cell>
          <cell r="I153">
            <v>30</v>
          </cell>
          <cell r="J153">
            <v>30</v>
          </cell>
          <cell r="K153">
            <v>0</v>
          </cell>
          <cell r="L153">
            <v>60</v>
          </cell>
          <cell r="M153">
            <v>4</v>
          </cell>
        </row>
        <row r="154">
          <cell r="A154" t="str">
            <v>ST3003</v>
          </cell>
          <cell r="B154" t="str">
            <v>IT</v>
          </cell>
          <cell r="C154" t="str">
            <v>DIT</v>
          </cell>
          <cell r="D154" t="str">
            <v>IPS</v>
          </cell>
          <cell r="E154" t="str">
            <v>Infocomm Professional Seminar</v>
          </cell>
          <cell r="F154" t="str">
            <v>Nil</v>
          </cell>
          <cell r="G154">
            <v>7</v>
          </cell>
          <cell r="H154">
            <v>0</v>
          </cell>
          <cell r="I154">
            <v>20</v>
          </cell>
          <cell r="J154">
            <v>0</v>
          </cell>
          <cell r="K154">
            <v>10</v>
          </cell>
          <cell r="L154">
            <v>30</v>
          </cell>
          <cell r="M154">
            <v>2</v>
          </cell>
        </row>
        <row r="155">
          <cell r="M155">
            <v>0</v>
          </cell>
        </row>
      </sheetData>
      <sheetData sheetId="1">
        <row r="4">
          <cell r="A4" t="str">
            <v>ST0244</v>
          </cell>
          <cell r="B4" t="str">
            <v>IT</v>
          </cell>
          <cell r="C4" t="str">
            <v>GD</v>
          </cell>
          <cell r="D4" t="str">
            <v>CSGD</v>
          </cell>
          <cell r="E4" t="str">
            <v>Console Game Development</v>
          </cell>
          <cell r="F4">
            <v>15</v>
          </cell>
          <cell r="G4">
            <v>0</v>
          </cell>
          <cell r="H4">
            <v>45</v>
          </cell>
          <cell r="I4" t="str">
            <v>-</v>
          </cell>
          <cell r="J4">
            <v>60</v>
          </cell>
          <cell r="K4">
            <v>4</v>
          </cell>
          <cell r="L4">
            <v>5</v>
          </cell>
        </row>
        <row r="5">
          <cell r="A5" t="str">
            <v>ST6102</v>
          </cell>
          <cell r="B5" t="str">
            <v>DM</v>
          </cell>
          <cell r="C5" t="str">
            <v>DA</v>
          </cell>
          <cell r="D5" t="str">
            <v xml:space="preserve">TANI </v>
          </cell>
          <cell r="E5" t="str">
            <v>Traditional Animation</v>
          </cell>
          <cell r="F5">
            <v>0</v>
          </cell>
          <cell r="G5">
            <v>0</v>
          </cell>
          <cell r="H5">
            <v>90</v>
          </cell>
          <cell r="I5" t="str">
            <v>-</v>
          </cell>
          <cell r="J5">
            <v>90</v>
          </cell>
          <cell r="K5">
            <v>6</v>
          </cell>
          <cell r="L5">
            <v>4</v>
          </cell>
        </row>
        <row r="6">
          <cell r="A6" t="str">
            <v>ST611Y</v>
          </cell>
          <cell r="B6" t="str">
            <v>DM</v>
          </cell>
          <cell r="C6" t="str">
            <v>IM</v>
          </cell>
          <cell r="D6" t="str">
            <v>GDP</v>
          </cell>
          <cell r="E6" t="str">
            <v>Graphic Design Principles</v>
          </cell>
          <cell r="F6">
            <v>0</v>
          </cell>
          <cell r="G6">
            <v>60</v>
          </cell>
          <cell r="H6">
            <v>0</v>
          </cell>
          <cell r="I6" t="str">
            <v>-</v>
          </cell>
          <cell r="J6">
            <v>60</v>
          </cell>
          <cell r="K6">
            <v>4</v>
          </cell>
          <cell r="L6">
            <v>4.5</v>
          </cell>
        </row>
        <row r="7">
          <cell r="A7" t="str">
            <v>ST611Z</v>
          </cell>
          <cell r="B7" t="str">
            <v>DM</v>
          </cell>
          <cell r="C7" t="str">
            <v>IM</v>
          </cell>
          <cell r="D7" t="str">
            <v>GDP</v>
          </cell>
          <cell r="E7" t="str">
            <v>Graphic Design Principles</v>
          </cell>
          <cell r="F7">
            <v>0</v>
          </cell>
          <cell r="G7">
            <v>60</v>
          </cell>
          <cell r="H7">
            <v>0</v>
          </cell>
          <cell r="I7" t="str">
            <v>-</v>
          </cell>
          <cell r="J7">
            <v>60</v>
          </cell>
          <cell r="K7">
            <v>4</v>
          </cell>
          <cell r="L7">
            <v>4.5</v>
          </cell>
        </row>
        <row r="8">
          <cell r="A8" t="str">
            <v>ST642Y</v>
          </cell>
          <cell r="B8" t="str">
            <v>DM</v>
          </cell>
          <cell r="C8" t="str">
            <v>VE</v>
          </cell>
          <cell r="D8" t="str">
            <v>MOG</v>
          </cell>
          <cell r="E8" t="str">
            <v xml:space="preserve">Motion Graphics </v>
          </cell>
          <cell r="F8">
            <v>0</v>
          </cell>
          <cell r="G8">
            <v>0</v>
          </cell>
          <cell r="H8">
            <v>60</v>
          </cell>
          <cell r="I8" t="str">
            <v>-</v>
          </cell>
          <cell r="J8">
            <v>60</v>
          </cell>
          <cell r="K8">
            <v>4</v>
          </cell>
          <cell r="L8">
            <v>5</v>
          </cell>
        </row>
        <row r="9">
          <cell r="A9" t="str">
            <v>ST642Z</v>
          </cell>
          <cell r="B9" t="str">
            <v>DM</v>
          </cell>
          <cell r="C9" t="str">
            <v>VE</v>
          </cell>
          <cell r="D9" t="str">
            <v>MOG</v>
          </cell>
          <cell r="E9" t="str">
            <v xml:space="preserve">Motion Graphics </v>
          </cell>
          <cell r="F9">
            <v>0</v>
          </cell>
          <cell r="G9">
            <v>0</v>
          </cell>
          <cell r="H9">
            <v>60</v>
          </cell>
          <cell r="I9" t="str">
            <v>-</v>
          </cell>
          <cell r="J9">
            <v>60</v>
          </cell>
          <cell r="K9">
            <v>4</v>
          </cell>
          <cell r="L9">
            <v>2</v>
          </cell>
        </row>
        <row r="10">
          <cell r="A10" t="str">
            <v>ST711Y</v>
          </cell>
          <cell r="B10" t="str">
            <v>DM</v>
          </cell>
          <cell r="C10" t="str">
            <v>IM</v>
          </cell>
          <cell r="D10" t="str">
            <v>IDD</v>
          </cell>
          <cell r="E10" t="str">
            <v>Interactive Design &amp; Development</v>
          </cell>
          <cell r="F10">
            <v>0</v>
          </cell>
          <cell r="G10">
            <v>30</v>
          </cell>
          <cell r="H10">
            <v>45</v>
          </cell>
          <cell r="I10" t="str">
            <v>-</v>
          </cell>
          <cell r="J10">
            <v>75</v>
          </cell>
          <cell r="K10">
            <v>5</v>
          </cell>
          <cell r="L10">
            <v>7</v>
          </cell>
        </row>
        <row r="11">
          <cell r="A11" t="str">
            <v>ST711Z</v>
          </cell>
          <cell r="B11" t="str">
            <v>DM</v>
          </cell>
          <cell r="C11" t="str">
            <v>IM</v>
          </cell>
          <cell r="D11" t="str">
            <v>IDD</v>
          </cell>
          <cell r="E11" t="str">
            <v>Interactive Design &amp; Development</v>
          </cell>
          <cell r="F11">
            <v>0</v>
          </cell>
          <cell r="G11">
            <v>30</v>
          </cell>
          <cell r="H11">
            <v>45</v>
          </cell>
          <cell r="I11" t="str">
            <v>-</v>
          </cell>
          <cell r="J11">
            <v>75</v>
          </cell>
          <cell r="K11">
            <v>5</v>
          </cell>
          <cell r="L11">
            <v>7</v>
          </cell>
        </row>
        <row r="12">
          <cell r="A12" t="str">
            <v>ST713Y</v>
          </cell>
          <cell r="B12" t="str">
            <v>DM</v>
          </cell>
          <cell r="C12" t="str">
            <v>IM</v>
          </cell>
          <cell r="D12" t="str">
            <v>DEAE</v>
          </cell>
          <cell r="E12" t="str">
            <v>Design and Aesthetics</v>
          </cell>
          <cell r="F12">
            <v>0</v>
          </cell>
          <cell r="G12">
            <v>90</v>
          </cell>
          <cell r="H12">
            <v>0</v>
          </cell>
          <cell r="I12" t="str">
            <v>-</v>
          </cell>
          <cell r="J12">
            <v>90</v>
          </cell>
          <cell r="K12">
            <v>6</v>
          </cell>
          <cell r="L12">
            <v>5</v>
          </cell>
        </row>
        <row r="13">
          <cell r="A13" t="str">
            <v>ST713Z</v>
          </cell>
          <cell r="B13" t="str">
            <v>DM</v>
          </cell>
          <cell r="C13" t="str">
            <v>IM</v>
          </cell>
          <cell r="D13" t="str">
            <v>DEAE</v>
          </cell>
          <cell r="E13" t="str">
            <v>Design and Aesthetics</v>
          </cell>
          <cell r="F13">
            <v>0</v>
          </cell>
          <cell r="G13">
            <v>90</v>
          </cell>
          <cell r="H13">
            <v>0</v>
          </cell>
          <cell r="I13" t="str">
            <v>-</v>
          </cell>
          <cell r="J13">
            <v>90</v>
          </cell>
          <cell r="K13">
            <v>6</v>
          </cell>
          <cell r="L13">
            <v>5</v>
          </cell>
        </row>
        <row r="14">
          <cell r="A14" t="str">
            <v>ST714Y</v>
          </cell>
          <cell r="B14" t="str">
            <v>DM</v>
          </cell>
          <cell r="C14" t="str">
            <v>IM</v>
          </cell>
          <cell r="D14" t="str">
            <v>WAD</v>
          </cell>
          <cell r="E14" t="str">
            <v>Web Applications Development</v>
          </cell>
          <cell r="F14">
            <v>0</v>
          </cell>
          <cell r="G14">
            <v>15</v>
          </cell>
          <cell r="H14">
            <v>60</v>
          </cell>
          <cell r="I14">
            <v>15</v>
          </cell>
          <cell r="J14">
            <v>90</v>
          </cell>
          <cell r="K14">
            <v>6</v>
          </cell>
          <cell r="L14">
            <v>5</v>
          </cell>
        </row>
        <row r="15">
          <cell r="A15" t="str">
            <v>ST714Z</v>
          </cell>
          <cell r="B15" t="str">
            <v>DM</v>
          </cell>
          <cell r="C15" t="str">
            <v>IM</v>
          </cell>
          <cell r="D15" t="str">
            <v>WAD</v>
          </cell>
          <cell r="E15" t="str">
            <v>Web Applications Development</v>
          </cell>
          <cell r="F15">
            <v>0</v>
          </cell>
          <cell r="G15">
            <v>15</v>
          </cell>
          <cell r="H15">
            <v>60</v>
          </cell>
          <cell r="I15">
            <v>15</v>
          </cell>
          <cell r="J15">
            <v>90</v>
          </cell>
          <cell r="K15">
            <v>6</v>
          </cell>
          <cell r="L15">
            <v>6</v>
          </cell>
        </row>
        <row r="16">
          <cell r="A16" t="str">
            <v>ST7605</v>
          </cell>
          <cell r="B16" t="str">
            <v>DM</v>
          </cell>
          <cell r="C16" t="str">
            <v>IM</v>
          </cell>
          <cell r="D16" t="str">
            <v>PM</v>
          </cell>
          <cell r="E16" t="str">
            <v>Project Management</v>
          </cell>
          <cell r="F16">
            <v>15</v>
          </cell>
          <cell r="G16">
            <v>30</v>
          </cell>
          <cell r="H16">
            <v>0</v>
          </cell>
          <cell r="I16" t="str">
            <v>-</v>
          </cell>
          <cell r="J16">
            <v>45</v>
          </cell>
          <cell r="K16">
            <v>3</v>
          </cell>
          <cell r="L16">
            <v>4</v>
          </cell>
        </row>
        <row r="17">
          <cell r="A17" t="str">
            <v>ST7608</v>
          </cell>
          <cell r="B17" t="str">
            <v>DM</v>
          </cell>
          <cell r="C17" t="str">
            <v>IM</v>
          </cell>
          <cell r="D17" t="str">
            <v>IAS</v>
          </cell>
          <cell r="E17" t="str">
            <v>Interactive Applications Studio</v>
          </cell>
          <cell r="F17">
            <v>45</v>
          </cell>
          <cell r="G17">
            <v>45</v>
          </cell>
          <cell r="H17">
            <v>120</v>
          </cell>
          <cell r="I17" t="str">
            <v>-</v>
          </cell>
          <cell r="J17">
            <v>210</v>
          </cell>
          <cell r="K17">
            <v>14</v>
          </cell>
          <cell r="L17">
            <v>19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20"/>
  <sheetViews>
    <sheetView workbookViewId="0">
      <selection activeCell="D6" sqref="D6"/>
    </sheetView>
  </sheetViews>
  <sheetFormatPr defaultColWidth="9.1796875" defaultRowHeight="13" x14ac:dyDescent="0.25"/>
  <cols>
    <col min="1" max="1" width="81.6328125" style="3" customWidth="1"/>
    <col min="2" max="2" width="16.6328125" style="3" customWidth="1"/>
    <col min="3" max="3" width="30.6328125" style="121" customWidth="1"/>
    <col min="4" max="4" width="9.1796875" style="120"/>
    <col min="5" max="16384" width="9.1796875" style="1"/>
  </cols>
  <sheetData>
    <row r="2" spans="1:5" x14ac:dyDescent="0.25">
      <c r="A2" s="122" t="s">
        <v>135</v>
      </c>
      <c r="B2" s="3" t="s">
        <v>165</v>
      </c>
      <c r="C2" s="3" t="s">
        <v>59</v>
      </c>
    </row>
    <row r="3" spans="1:5" ht="26" x14ac:dyDescent="0.25">
      <c r="A3" s="114" t="s">
        <v>397</v>
      </c>
      <c r="B3" s="114"/>
      <c r="C3" s="207" t="s">
        <v>401</v>
      </c>
    </row>
    <row r="4" spans="1:5" x14ac:dyDescent="0.25">
      <c r="A4" s="114" t="s">
        <v>162</v>
      </c>
      <c r="B4" s="114" t="s">
        <v>166</v>
      </c>
      <c r="C4" s="123" t="s">
        <v>241</v>
      </c>
    </row>
    <row r="5" spans="1:5" x14ac:dyDescent="0.25">
      <c r="A5" s="114" t="s">
        <v>163</v>
      </c>
      <c r="B5" s="114" t="s">
        <v>167</v>
      </c>
      <c r="C5" s="123" t="s">
        <v>241</v>
      </c>
    </row>
    <row r="6" spans="1:5" ht="52" x14ac:dyDescent="0.25">
      <c r="A6" s="114" t="s">
        <v>134</v>
      </c>
      <c r="B6" s="114" t="s">
        <v>168</v>
      </c>
      <c r="C6" s="114" t="s">
        <v>235</v>
      </c>
    </row>
    <row r="7" spans="1:5" ht="26" x14ac:dyDescent="0.25">
      <c r="A7" s="200" t="s">
        <v>264</v>
      </c>
      <c r="B7" s="114" t="s">
        <v>265</v>
      </c>
      <c r="C7" s="114" t="s">
        <v>266</v>
      </c>
    </row>
    <row r="8" spans="1:5" ht="39" x14ac:dyDescent="0.25">
      <c r="A8" s="200" t="s">
        <v>398</v>
      </c>
      <c r="B8" s="114" t="s">
        <v>267</v>
      </c>
      <c r="C8" s="124" t="s">
        <v>220</v>
      </c>
    </row>
    <row r="9" spans="1:5" ht="25.75" customHeight="1" x14ac:dyDescent="0.25">
      <c r="A9" s="200" t="s">
        <v>136</v>
      </c>
      <c r="B9" s="114" t="s">
        <v>170</v>
      </c>
      <c r="C9" s="124" t="s">
        <v>221</v>
      </c>
      <c r="E9" s="3"/>
    </row>
    <row r="10" spans="1:5" ht="25.75" customHeight="1" x14ac:dyDescent="0.25">
      <c r="A10" s="200" t="s">
        <v>259</v>
      </c>
      <c r="B10" s="114"/>
      <c r="C10" s="124"/>
      <c r="E10" s="3"/>
    </row>
    <row r="11" spans="1:5" ht="26" x14ac:dyDescent="0.25">
      <c r="A11" s="200" t="s">
        <v>261</v>
      </c>
      <c r="B11" s="114"/>
      <c r="C11" s="123"/>
    </row>
    <row r="12" spans="1:5" x14ac:dyDescent="0.25">
      <c r="A12" s="200" t="s">
        <v>169</v>
      </c>
      <c r="B12" s="114"/>
      <c r="C12" s="114" t="s">
        <v>223</v>
      </c>
    </row>
    <row r="13" spans="1:5" x14ac:dyDescent="0.25">
      <c r="A13" s="200" t="s">
        <v>164</v>
      </c>
      <c r="B13" s="114"/>
      <c r="C13" s="123"/>
    </row>
    <row r="14" spans="1:5" x14ac:dyDescent="0.25">
      <c r="A14" s="200" t="s">
        <v>171</v>
      </c>
      <c r="B14" s="114"/>
      <c r="C14" s="123"/>
    </row>
    <row r="15" spans="1:5" x14ac:dyDescent="0.25">
      <c r="A15" s="201"/>
    </row>
    <row r="16" spans="1:5" x14ac:dyDescent="0.25">
      <c r="A16" s="202" t="s">
        <v>104</v>
      </c>
    </row>
    <row r="17" spans="1:3" x14ac:dyDescent="0.25">
      <c r="A17" s="200" t="s">
        <v>222</v>
      </c>
      <c r="B17" s="114"/>
      <c r="C17" s="123"/>
    </row>
    <row r="18" spans="1:3" x14ac:dyDescent="0.25">
      <c r="A18" s="200" t="s">
        <v>174</v>
      </c>
      <c r="B18" s="114"/>
      <c r="C18" s="123"/>
    </row>
    <row r="19" spans="1:3" x14ac:dyDescent="0.25">
      <c r="A19" s="200" t="s">
        <v>224</v>
      </c>
      <c r="B19" s="114"/>
      <c r="C19" s="123"/>
    </row>
    <row r="20" spans="1:3" x14ac:dyDescent="0.25">
      <c r="A20" s="201" t="s">
        <v>263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5:Z22"/>
  <sheetViews>
    <sheetView topLeftCell="J1" zoomScale="110" zoomScaleNormal="110" zoomScalePageLayoutView="110" workbookViewId="0">
      <selection activeCell="AA13" sqref="AA13"/>
    </sheetView>
  </sheetViews>
  <sheetFormatPr defaultColWidth="8.81640625" defaultRowHeight="12.5" x14ac:dyDescent="0.25"/>
  <cols>
    <col min="2" max="2" width="8.81640625" customWidth="1"/>
    <col min="3" max="3" width="13.1796875" customWidth="1"/>
    <col min="4" max="5" width="8.81640625" customWidth="1"/>
    <col min="7" max="10" width="3.54296875" customWidth="1"/>
    <col min="19" max="19" width="6.81640625" customWidth="1"/>
    <col min="22" max="22" width="8" customWidth="1"/>
  </cols>
  <sheetData>
    <row r="5" spans="2:26" ht="13" thickBot="1" x14ac:dyDescent="0.3"/>
    <row r="6" spans="2:26" x14ac:dyDescent="0.25">
      <c r="B6" s="148" t="s">
        <v>234</v>
      </c>
      <c r="C6" s="149"/>
      <c r="F6" s="155"/>
      <c r="G6" s="185" t="s">
        <v>399</v>
      </c>
      <c r="H6" s="186"/>
      <c r="I6" s="186"/>
      <c r="J6" s="186"/>
      <c r="K6" s="156"/>
      <c r="L6" s="156"/>
      <c r="M6" s="156"/>
      <c r="N6" s="156"/>
      <c r="O6" s="156"/>
      <c r="P6" s="156"/>
      <c r="Q6" s="156"/>
      <c r="R6" s="156"/>
      <c r="S6" s="149"/>
    </row>
    <row r="7" spans="2:26" x14ac:dyDescent="0.25">
      <c r="B7" s="150" t="s">
        <v>40</v>
      </c>
      <c r="C7" s="151" t="s">
        <v>280</v>
      </c>
      <c r="F7" s="157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153"/>
      <c r="T7" s="191" t="s">
        <v>338</v>
      </c>
      <c r="U7" s="206" t="s">
        <v>343</v>
      </c>
      <c r="W7" s="205" t="s">
        <v>344</v>
      </c>
      <c r="Y7" s="206" t="s">
        <v>366</v>
      </c>
      <c r="Z7" s="132" t="s">
        <v>400</v>
      </c>
    </row>
    <row r="8" spans="2:26" ht="18.5" x14ac:dyDescent="0.25">
      <c r="B8" s="150" t="s">
        <v>3</v>
      </c>
      <c r="C8" s="151" t="s">
        <v>281</v>
      </c>
      <c r="F8" s="163"/>
      <c r="G8" s="158" t="s">
        <v>282</v>
      </c>
      <c r="H8" s="159"/>
      <c r="I8" s="158" t="s">
        <v>283</v>
      </c>
      <c r="J8" s="159"/>
      <c r="K8" s="48" t="s">
        <v>3</v>
      </c>
      <c r="L8" s="159"/>
      <c r="M8" s="191" t="s">
        <v>17</v>
      </c>
      <c r="N8" s="159"/>
      <c r="O8" s="191" t="s">
        <v>40</v>
      </c>
      <c r="P8" s="159"/>
      <c r="Q8" s="191" t="s">
        <v>345</v>
      </c>
      <c r="R8" s="159"/>
      <c r="S8" s="151" t="s">
        <v>340</v>
      </c>
      <c r="U8" s="191" t="s">
        <v>339</v>
      </c>
      <c r="V8" s="191"/>
      <c r="W8" s="191" t="s">
        <v>342</v>
      </c>
    </row>
    <row r="9" spans="2:26" x14ac:dyDescent="0.25">
      <c r="B9" s="150" t="s">
        <v>345</v>
      </c>
      <c r="C9" s="151" t="s">
        <v>346</v>
      </c>
      <c r="F9" s="164" t="s">
        <v>5</v>
      </c>
      <c r="G9" s="126">
        <v>0</v>
      </c>
      <c r="H9" s="126">
        <v>0</v>
      </c>
      <c r="I9" s="94">
        <v>0</v>
      </c>
      <c r="J9" s="95">
        <v>0</v>
      </c>
      <c r="K9" s="126">
        <v>145</v>
      </c>
      <c r="L9" s="126">
        <v>0</v>
      </c>
      <c r="M9" s="94">
        <v>0</v>
      </c>
      <c r="N9" s="94">
        <v>0</v>
      </c>
      <c r="O9" s="94">
        <v>100</v>
      </c>
      <c r="P9" s="94">
        <v>0</v>
      </c>
      <c r="Q9" s="94">
        <v>55</v>
      </c>
      <c r="R9" s="94">
        <v>0</v>
      </c>
      <c r="S9" s="153">
        <v>135</v>
      </c>
      <c r="T9">
        <v>140</v>
      </c>
      <c r="U9">
        <v>180</v>
      </c>
      <c r="W9">
        <v>0</v>
      </c>
      <c r="Y9">
        <v>120</v>
      </c>
      <c r="Z9">
        <v>180</v>
      </c>
    </row>
    <row r="10" spans="2:26" x14ac:dyDescent="0.25">
      <c r="B10" s="180" t="s">
        <v>340</v>
      </c>
      <c r="C10" s="181" t="s">
        <v>341</v>
      </c>
      <c r="F10" s="157" t="s">
        <v>284</v>
      </c>
      <c r="G10" s="160">
        <v>0</v>
      </c>
      <c r="H10" s="160">
        <v>0</v>
      </c>
      <c r="I10" s="160">
        <v>0</v>
      </c>
      <c r="J10" s="160">
        <v>0</v>
      </c>
      <c r="K10" s="160">
        <v>7</v>
      </c>
      <c r="L10" s="160">
        <v>0</v>
      </c>
      <c r="M10" s="160">
        <v>0</v>
      </c>
      <c r="N10" s="160">
        <v>0</v>
      </c>
      <c r="O10" s="160">
        <v>5</v>
      </c>
      <c r="P10" s="160">
        <v>0</v>
      </c>
      <c r="Q10" s="160">
        <v>3</v>
      </c>
      <c r="R10" s="160">
        <v>0</v>
      </c>
      <c r="S10" s="153">
        <v>7</v>
      </c>
      <c r="T10" s="160">
        <v>7</v>
      </c>
      <c r="U10" s="160">
        <v>9</v>
      </c>
      <c r="V10" s="160"/>
      <c r="W10" s="160">
        <v>0</v>
      </c>
      <c r="Y10" s="160">
        <v>6</v>
      </c>
      <c r="Z10" s="160">
        <v>9</v>
      </c>
    </row>
    <row r="11" spans="2:26" x14ac:dyDescent="0.25">
      <c r="B11" s="183"/>
      <c r="C11" s="184"/>
      <c r="F11" s="164" t="s">
        <v>6</v>
      </c>
      <c r="G11" s="126">
        <v>0</v>
      </c>
      <c r="H11" s="126">
        <v>0</v>
      </c>
      <c r="I11" s="94">
        <v>0</v>
      </c>
      <c r="J11" s="95">
        <v>0</v>
      </c>
      <c r="K11" s="126">
        <v>100</v>
      </c>
      <c r="L11" s="126">
        <v>100</v>
      </c>
      <c r="M11" s="94">
        <v>0</v>
      </c>
      <c r="N11" s="94">
        <v>0</v>
      </c>
      <c r="O11" s="94">
        <v>80</v>
      </c>
      <c r="P11" s="94">
        <v>60</v>
      </c>
      <c r="Q11" s="94">
        <v>60</v>
      </c>
      <c r="R11" s="94">
        <v>40</v>
      </c>
      <c r="S11" s="153"/>
      <c r="T11" s="192"/>
      <c r="U11" s="168"/>
      <c r="V11" s="168"/>
      <c r="W11" s="168"/>
      <c r="X11" s="168"/>
      <c r="Y11" s="168"/>
    </row>
    <row r="12" spans="2:26" x14ac:dyDescent="0.25">
      <c r="F12" s="157" t="s">
        <v>284</v>
      </c>
      <c r="G12" s="160">
        <v>0</v>
      </c>
      <c r="H12" s="160">
        <v>0</v>
      </c>
      <c r="I12" s="160">
        <v>0</v>
      </c>
      <c r="J12" s="160">
        <v>0</v>
      </c>
      <c r="K12" s="160">
        <v>5</v>
      </c>
      <c r="L12" s="160">
        <v>5</v>
      </c>
      <c r="M12" s="160">
        <v>0</v>
      </c>
      <c r="N12" s="160">
        <v>0</v>
      </c>
      <c r="O12" s="160">
        <v>4</v>
      </c>
      <c r="P12" s="160">
        <v>3</v>
      </c>
      <c r="Q12" s="160">
        <v>3</v>
      </c>
      <c r="R12" s="160">
        <v>2</v>
      </c>
      <c r="S12" s="153"/>
      <c r="T12" s="160"/>
      <c r="U12" s="160"/>
      <c r="V12" s="160"/>
      <c r="W12" s="160">
        <v>0</v>
      </c>
      <c r="X12" s="160">
        <v>0</v>
      </c>
      <c r="Y12" s="160"/>
    </row>
    <row r="13" spans="2:26" x14ac:dyDescent="0.25">
      <c r="F13" s="164" t="s">
        <v>7</v>
      </c>
      <c r="G13" s="59">
        <v>0</v>
      </c>
      <c r="H13" s="59">
        <v>0</v>
      </c>
      <c r="I13" s="94">
        <v>0</v>
      </c>
      <c r="J13" s="94">
        <v>0</v>
      </c>
      <c r="K13" s="126">
        <v>0</v>
      </c>
      <c r="L13" s="126">
        <v>0</v>
      </c>
      <c r="M13" s="94">
        <v>0</v>
      </c>
      <c r="N13" s="94">
        <v>0</v>
      </c>
      <c r="O13" s="94">
        <v>78</v>
      </c>
      <c r="P13" s="94">
        <v>55</v>
      </c>
      <c r="Q13" s="94">
        <v>0</v>
      </c>
      <c r="R13" s="94">
        <v>0</v>
      </c>
      <c r="S13" s="153"/>
      <c r="U13" s="168">
        <v>80</v>
      </c>
      <c r="V13" s="168">
        <v>71</v>
      </c>
      <c r="W13" s="168">
        <v>44</v>
      </c>
      <c r="X13" s="168">
        <v>44</v>
      </c>
    </row>
    <row r="14" spans="2:26" x14ac:dyDescent="0.25">
      <c r="F14" s="157" t="s">
        <v>284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4</v>
      </c>
      <c r="P14" s="160">
        <v>3</v>
      </c>
      <c r="Q14" s="160">
        <v>0</v>
      </c>
      <c r="R14" s="160">
        <v>0</v>
      </c>
      <c r="S14" s="153"/>
      <c r="U14" s="160">
        <v>4</v>
      </c>
      <c r="V14" s="160">
        <v>4</v>
      </c>
      <c r="W14" s="160">
        <v>2</v>
      </c>
      <c r="X14" s="160">
        <v>2</v>
      </c>
    </row>
    <row r="15" spans="2:26" ht="13" thickBot="1" x14ac:dyDescent="0.3">
      <c r="F15" s="161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54"/>
    </row>
    <row r="16" spans="2:26" ht="13" thickBot="1" x14ac:dyDescent="0.3"/>
    <row r="17" spans="2:3" x14ac:dyDescent="0.25">
      <c r="B17" s="148" t="s">
        <v>239</v>
      </c>
      <c r="C17" s="149"/>
    </row>
    <row r="18" spans="2:3" x14ac:dyDescent="0.25">
      <c r="B18" s="150" t="s">
        <v>236</v>
      </c>
      <c r="C18" s="153">
        <v>2021</v>
      </c>
    </row>
    <row r="19" spans="2:3" x14ac:dyDescent="0.25">
      <c r="B19" s="150" t="s">
        <v>237</v>
      </c>
      <c r="C19" s="153">
        <v>2020</v>
      </c>
    </row>
    <row r="20" spans="2:3" ht="13" thickBot="1" x14ac:dyDescent="0.3">
      <c r="B20" s="152" t="s">
        <v>238</v>
      </c>
      <c r="C20" s="154">
        <v>2019</v>
      </c>
    </row>
    <row r="22" spans="2:3" x14ac:dyDescent="0.25">
      <c r="B22" s="132" t="s">
        <v>240</v>
      </c>
    </row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62" fitToHeight="0" orientation="landscape" r:id="rId1"/>
  <headerFooter>
    <oddHeader>&amp;L&amp;F&amp;Z&amp;F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Q160"/>
  <sheetViews>
    <sheetView tabSelected="1" zoomScale="80" zoomScaleNormal="80" zoomScalePageLayoutView="8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AK13" sqref="AK13:BQ160"/>
    </sheetView>
  </sheetViews>
  <sheetFormatPr defaultColWidth="9.1796875" defaultRowHeight="13" x14ac:dyDescent="0.25"/>
  <cols>
    <col min="1" max="1" width="7.6328125" style="44" customWidth="1"/>
    <col min="2" max="2" width="5.36328125" style="142" bestFit="1" customWidth="1"/>
    <col min="3" max="3" width="5.6328125" style="42" customWidth="1"/>
    <col min="4" max="4" width="3.6328125" style="47" customWidth="1"/>
    <col min="5" max="6" width="6.6328125" style="44" customWidth="1"/>
    <col min="7" max="7" width="6.6328125" style="47" customWidth="1"/>
    <col min="8" max="8" width="15.36328125" style="44" customWidth="1"/>
    <col min="9" max="9" width="4.6328125" style="44" customWidth="1"/>
    <col min="10" max="10" width="4.6328125" style="60" customWidth="1"/>
    <col min="11" max="14" width="4.6328125" style="44" customWidth="1"/>
    <col min="15" max="15" width="8.36328125" style="44" customWidth="1"/>
    <col min="16" max="16" width="8.453125" style="44" customWidth="1"/>
    <col min="17" max="20" width="3.6328125" style="44" customWidth="1"/>
    <col min="21" max="24" width="4.6328125" style="44" customWidth="1"/>
    <col min="25" max="25" width="4.6328125" style="61" customWidth="1"/>
    <col min="26" max="26" width="9.1796875" style="44" customWidth="1"/>
    <col min="27" max="27" width="7.453125" style="44" customWidth="1"/>
    <col min="28" max="30" width="4.6328125" style="44" customWidth="1"/>
    <col min="31" max="35" width="3.6328125" style="44" customWidth="1"/>
    <col min="36" max="36" width="5.1796875" style="44" customWidth="1"/>
    <col min="37" max="46" width="4.6328125" style="44" customWidth="1"/>
    <col min="47" max="54" width="3.6328125" style="44" customWidth="1"/>
    <col min="55" max="56" width="6.6328125" style="42" customWidth="1"/>
    <col min="57" max="57" width="4.6328125" style="42" customWidth="1"/>
    <col min="58" max="69" width="3.6328125" style="42" customWidth="1"/>
    <col min="70" max="70" width="9.1796875" style="44" customWidth="1"/>
    <col min="71" max="16384" width="9.1796875" style="44"/>
  </cols>
  <sheetData>
    <row r="1" spans="1:69" s="40" customFormat="1" ht="18" customHeight="1" x14ac:dyDescent="0.25">
      <c r="B1" s="141"/>
      <c r="C1" s="41"/>
      <c r="D1" s="42" t="s">
        <v>27</v>
      </c>
      <c r="E1" s="42">
        <v>40</v>
      </c>
      <c r="F1" s="42">
        <v>46</v>
      </c>
      <c r="G1" s="41"/>
      <c r="H1" s="43"/>
      <c r="I1" s="37"/>
      <c r="J1" s="214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  <c r="AH1" s="215"/>
      <c r="AI1" s="215"/>
      <c r="AJ1" s="215"/>
      <c r="AK1" s="215"/>
      <c r="AL1" s="215"/>
      <c r="AM1" s="215"/>
      <c r="AV1" s="44"/>
      <c r="AW1" s="44"/>
      <c r="AX1" s="44"/>
      <c r="AY1" s="44"/>
      <c r="AZ1" s="44"/>
      <c r="BA1" s="44"/>
      <c r="BB1" s="44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</row>
    <row r="2" spans="1:69" s="40" customFormat="1" ht="18" customHeight="1" x14ac:dyDescent="0.25">
      <c r="B2" s="141"/>
      <c r="C2" s="41"/>
      <c r="D2" s="42" t="s">
        <v>26</v>
      </c>
      <c r="E2" s="42">
        <v>22</v>
      </c>
      <c r="F2" s="42">
        <v>24</v>
      </c>
      <c r="G2" s="42"/>
      <c r="H2" s="43"/>
      <c r="I2" s="37"/>
      <c r="J2" s="36"/>
      <c r="K2" s="45"/>
      <c r="M2" s="45"/>
      <c r="O2" s="45"/>
      <c r="Q2" s="45"/>
      <c r="S2" s="46"/>
      <c r="U2" s="47"/>
      <c r="W2" s="47"/>
      <c r="Y2" s="47"/>
      <c r="AA2" s="47"/>
      <c r="AC2" s="47"/>
      <c r="AD2" s="47"/>
      <c r="AE2" s="47"/>
      <c r="AF2" s="47"/>
      <c r="AH2" s="146"/>
      <c r="AI2" s="146"/>
      <c r="AJ2" s="47"/>
      <c r="AK2" s="146"/>
      <c r="AL2" s="36"/>
      <c r="AY2" s="44"/>
      <c r="AZ2" s="44"/>
      <c r="BA2" s="44"/>
      <c r="BB2" s="44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</row>
    <row r="3" spans="1:69" ht="18" customHeight="1" x14ac:dyDescent="0.25">
      <c r="D3" s="42" t="s">
        <v>28</v>
      </c>
      <c r="E3" s="42">
        <v>22</v>
      </c>
      <c r="F3" s="42">
        <v>23</v>
      </c>
      <c r="G3" s="41"/>
      <c r="H3" s="47"/>
      <c r="I3" s="36"/>
      <c r="J3" s="48"/>
      <c r="K3" s="27"/>
      <c r="L3" s="27"/>
      <c r="M3" s="27"/>
      <c r="N3" s="14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BB3" s="42" t="s">
        <v>260</v>
      </c>
      <c r="BD3" s="42" t="s">
        <v>51</v>
      </c>
    </row>
    <row r="4" spans="1:69" ht="18" customHeight="1" x14ac:dyDescent="0.25">
      <c r="D4" s="42" t="s">
        <v>29</v>
      </c>
      <c r="E4" s="42">
        <v>6</v>
      </c>
      <c r="F4" s="42"/>
      <c r="G4" s="41"/>
      <c r="H4" s="47"/>
      <c r="I4" s="49"/>
      <c r="J4" s="48"/>
      <c r="K4" s="27"/>
      <c r="L4" s="27"/>
      <c r="M4" s="27"/>
      <c r="N4" s="14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</row>
    <row r="5" spans="1:69" ht="18" customHeight="1" x14ac:dyDescent="0.25">
      <c r="D5" s="42" t="s">
        <v>32</v>
      </c>
      <c r="E5" s="50">
        <v>1</v>
      </c>
      <c r="F5" s="51"/>
      <c r="G5" s="41"/>
      <c r="H5" s="47"/>
      <c r="I5" s="49"/>
      <c r="J5" s="48"/>
      <c r="K5" s="147"/>
      <c r="L5" s="14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69" s="47" customFormat="1" ht="18" customHeight="1" x14ac:dyDescent="0.25">
      <c r="B6" s="142"/>
      <c r="C6" s="42"/>
      <c r="E6" s="43"/>
      <c r="F6" s="43"/>
      <c r="G6" s="43"/>
      <c r="I6" s="36"/>
      <c r="AK6" s="36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</row>
    <row r="7" spans="1:69" ht="18" customHeight="1" x14ac:dyDescent="0.25">
      <c r="A7" t="s">
        <v>4</v>
      </c>
      <c r="B7" s="143" t="s">
        <v>93</v>
      </c>
      <c r="C7" t="s">
        <v>99</v>
      </c>
      <c r="D7" t="s">
        <v>19</v>
      </c>
      <c r="E7" t="s">
        <v>61</v>
      </c>
      <c r="F7" t="s">
        <v>0</v>
      </c>
      <c r="G7" t="s">
        <v>43</v>
      </c>
      <c r="H7" t="s">
        <v>59</v>
      </c>
      <c r="I7" s="36"/>
      <c r="J7" s="131" t="s">
        <v>15</v>
      </c>
      <c r="K7" s="129" t="s">
        <v>9</v>
      </c>
      <c r="L7" s="129" t="s">
        <v>14</v>
      </c>
      <c r="M7" s="56" t="s">
        <v>42</v>
      </c>
      <c r="N7" s="56" t="s">
        <v>1</v>
      </c>
      <c r="O7" s="129" t="s">
        <v>15</v>
      </c>
      <c r="P7" s="129"/>
      <c r="Q7" s="129" t="s">
        <v>9</v>
      </c>
      <c r="R7" s="129"/>
      <c r="S7" s="129" t="s">
        <v>10</v>
      </c>
      <c r="T7" s="129"/>
      <c r="U7" s="99" t="s">
        <v>2</v>
      </c>
      <c r="V7" s="99" t="s">
        <v>16</v>
      </c>
      <c r="W7" s="99" t="s">
        <v>9</v>
      </c>
      <c r="X7" s="100" t="s">
        <v>10</v>
      </c>
      <c r="Y7" s="52" t="s">
        <v>133</v>
      </c>
      <c r="Z7" s="20" t="s">
        <v>2</v>
      </c>
      <c r="AA7" s="129" t="s">
        <v>16</v>
      </c>
      <c r="AB7" s="129" t="s">
        <v>9</v>
      </c>
      <c r="AC7" s="56" t="s">
        <v>10</v>
      </c>
      <c r="AD7" s="47"/>
      <c r="AE7" s="41" t="s">
        <v>161</v>
      </c>
      <c r="AF7" s="41" t="s">
        <v>23</v>
      </c>
      <c r="AG7" s="41" t="s">
        <v>41</v>
      </c>
      <c r="AH7" s="41" t="s">
        <v>25</v>
      </c>
      <c r="AI7" s="130" t="s">
        <v>22</v>
      </c>
      <c r="AJ7" s="47"/>
      <c r="AK7" s="99" t="s">
        <v>2</v>
      </c>
      <c r="AL7" s="99" t="s">
        <v>16</v>
      </c>
      <c r="AM7" s="99" t="s">
        <v>9</v>
      </c>
      <c r="AN7" s="100" t="s">
        <v>10</v>
      </c>
      <c r="AO7" s="44" t="s">
        <v>133</v>
      </c>
      <c r="AP7" s="20" t="s">
        <v>2</v>
      </c>
      <c r="AQ7" s="129" t="s">
        <v>16</v>
      </c>
      <c r="AR7" s="129" t="s">
        <v>9</v>
      </c>
      <c r="AS7" s="129" t="s">
        <v>10</v>
      </c>
      <c r="AU7" s="41" t="s">
        <v>161</v>
      </c>
      <c r="AV7" s="41" t="s">
        <v>23</v>
      </c>
      <c r="AW7" s="41" t="s">
        <v>41</v>
      </c>
      <c r="AX7" s="41" t="s">
        <v>25</v>
      </c>
      <c r="AY7" s="130" t="s">
        <v>22</v>
      </c>
    </row>
    <row r="8" spans="1:69" s="42" customFormat="1" ht="18" customHeight="1" x14ac:dyDescent="0.25">
      <c r="A8" s="42">
        <v>1</v>
      </c>
      <c r="B8" s="142">
        <v>2</v>
      </c>
      <c r="C8" s="42">
        <v>3</v>
      </c>
      <c r="D8" s="42">
        <v>4</v>
      </c>
      <c r="E8" s="42">
        <v>5</v>
      </c>
      <c r="F8" s="42">
        <v>6</v>
      </c>
      <c r="G8" s="42">
        <v>7</v>
      </c>
      <c r="H8" s="42">
        <v>8</v>
      </c>
      <c r="I8" s="42">
        <v>9</v>
      </c>
      <c r="J8" s="42">
        <v>10</v>
      </c>
      <c r="K8" s="42">
        <v>11</v>
      </c>
      <c r="L8" s="42">
        <v>12</v>
      </c>
      <c r="M8" s="42">
        <v>13</v>
      </c>
      <c r="N8" s="42">
        <v>14</v>
      </c>
      <c r="O8" s="42">
        <v>15</v>
      </c>
      <c r="P8" s="42">
        <v>16</v>
      </c>
      <c r="Q8" s="42">
        <v>17</v>
      </c>
      <c r="R8" s="42">
        <v>18</v>
      </c>
      <c r="S8" s="42">
        <v>19</v>
      </c>
      <c r="T8" s="42">
        <v>20</v>
      </c>
      <c r="U8" s="42">
        <v>21</v>
      </c>
      <c r="V8" s="42">
        <v>22</v>
      </c>
      <c r="W8" s="42">
        <v>23</v>
      </c>
      <c r="X8" s="42">
        <v>24</v>
      </c>
      <c r="Z8" s="42">
        <v>26</v>
      </c>
      <c r="AA8" s="42">
        <v>27</v>
      </c>
      <c r="AB8" s="42">
        <v>28</v>
      </c>
      <c r="AC8" s="42">
        <v>29</v>
      </c>
      <c r="AD8" s="42">
        <v>30</v>
      </c>
      <c r="AE8" s="42">
        <v>31</v>
      </c>
      <c r="AF8" s="42">
        <v>32</v>
      </c>
      <c r="AG8" s="42">
        <v>33</v>
      </c>
      <c r="AH8" s="42">
        <v>34</v>
      </c>
      <c r="AI8" s="42">
        <v>35</v>
      </c>
      <c r="AJ8" s="42">
        <v>36</v>
      </c>
      <c r="AK8" s="42">
        <v>37</v>
      </c>
      <c r="AL8" s="42">
        <v>38</v>
      </c>
      <c r="AM8" s="42">
        <v>39</v>
      </c>
      <c r="AN8" s="42">
        <v>40</v>
      </c>
      <c r="AP8" s="42">
        <v>42</v>
      </c>
      <c r="AQ8" s="42">
        <v>43</v>
      </c>
      <c r="AR8" s="42">
        <v>44</v>
      </c>
      <c r="AS8" s="42">
        <v>45</v>
      </c>
      <c r="AT8" s="42">
        <v>46</v>
      </c>
      <c r="AU8" s="42">
        <v>47</v>
      </c>
      <c r="AV8" s="42">
        <v>48</v>
      </c>
      <c r="AW8" s="42">
        <v>49</v>
      </c>
      <c r="AX8" s="42">
        <v>50</v>
      </c>
      <c r="AY8" s="42">
        <v>51</v>
      </c>
      <c r="AZ8" s="42">
        <v>52</v>
      </c>
      <c r="BA8" s="42">
        <v>53</v>
      </c>
      <c r="BB8" s="42">
        <v>54</v>
      </c>
      <c r="BC8" s="42">
        <v>55</v>
      </c>
      <c r="BD8" s="42">
        <v>56</v>
      </c>
      <c r="BE8" s="42">
        <v>57</v>
      </c>
      <c r="BF8" s="42">
        <v>58</v>
      </c>
      <c r="BG8" s="42">
        <v>59</v>
      </c>
      <c r="BH8" s="42">
        <v>60</v>
      </c>
      <c r="BI8" s="42">
        <v>61</v>
      </c>
      <c r="BJ8" s="42">
        <v>62</v>
      </c>
      <c r="BK8" s="42">
        <v>63</v>
      </c>
      <c r="BL8" s="42">
        <v>64</v>
      </c>
      <c r="BM8" s="42">
        <v>65</v>
      </c>
      <c r="BN8" s="42">
        <v>66</v>
      </c>
      <c r="BO8" s="42">
        <v>67</v>
      </c>
      <c r="BP8" s="42">
        <v>68</v>
      </c>
      <c r="BQ8" s="42">
        <v>69</v>
      </c>
    </row>
    <row r="9" spans="1:69" ht="18" customHeight="1" x14ac:dyDescent="0.25">
      <c r="E9" s="43"/>
      <c r="F9" s="43"/>
      <c r="G9" s="43"/>
      <c r="H9" s="43"/>
      <c r="I9" s="43"/>
      <c r="J9" s="53"/>
      <c r="K9" s="43"/>
      <c r="L9" s="43"/>
      <c r="M9" s="43"/>
      <c r="N9" s="43"/>
      <c r="O9" s="54"/>
      <c r="P9" s="54"/>
      <c r="Q9" s="54"/>
      <c r="R9" s="54"/>
      <c r="S9" s="54"/>
      <c r="T9" s="54"/>
      <c r="U9" s="17" t="s">
        <v>348</v>
      </c>
      <c r="V9" s="15"/>
      <c r="W9" s="15"/>
      <c r="X9" s="15"/>
      <c r="Y9" s="13"/>
      <c r="Z9" s="15"/>
      <c r="AA9" s="15"/>
      <c r="AB9" s="15"/>
      <c r="AC9" s="15"/>
      <c r="AD9" s="14"/>
      <c r="AE9" s="38"/>
      <c r="AF9" s="38"/>
      <c r="AG9" s="38"/>
      <c r="AH9" s="38"/>
      <c r="AI9" s="38"/>
      <c r="AJ9" s="38"/>
      <c r="AK9" s="17" t="s">
        <v>347</v>
      </c>
      <c r="AL9" s="15"/>
      <c r="AM9" s="15"/>
      <c r="AN9" s="15"/>
      <c r="AO9" s="13"/>
      <c r="AP9" s="15"/>
      <c r="AQ9" s="15"/>
      <c r="AR9" s="15"/>
      <c r="AS9" s="16"/>
      <c r="AT9" s="14"/>
      <c r="AU9" s="38"/>
      <c r="AV9" s="38"/>
      <c r="AW9" s="38"/>
      <c r="AX9" s="38"/>
      <c r="AY9" s="38"/>
    </row>
    <row r="10" spans="1:69" x14ac:dyDescent="0.25">
      <c r="A10" s="208" t="s">
        <v>4</v>
      </c>
      <c r="B10" s="210" t="s">
        <v>93</v>
      </c>
      <c r="C10" s="212" t="s">
        <v>99</v>
      </c>
      <c r="D10" s="208" t="s">
        <v>19</v>
      </c>
      <c r="E10" s="208" t="s">
        <v>61</v>
      </c>
      <c r="F10" s="208" t="s">
        <v>0</v>
      </c>
      <c r="G10" s="218" t="s">
        <v>43</v>
      </c>
      <c r="H10" s="218" t="s">
        <v>59</v>
      </c>
      <c r="I10" s="33"/>
      <c r="J10" s="10" t="s">
        <v>13</v>
      </c>
      <c r="K10" s="10"/>
      <c r="L10" s="10"/>
      <c r="M10" s="17"/>
      <c r="N10" s="17"/>
      <c r="O10" s="10" t="s">
        <v>18</v>
      </c>
      <c r="P10" s="15"/>
      <c r="Q10" s="15"/>
      <c r="R10" s="15"/>
      <c r="S10" s="16"/>
      <c r="T10" s="10"/>
      <c r="U10" s="97" t="s">
        <v>11</v>
      </c>
      <c r="V10" s="97"/>
      <c r="W10" s="98"/>
      <c r="X10" s="98"/>
      <c r="Y10" s="216" t="s">
        <v>133</v>
      </c>
      <c r="Z10" s="17" t="s">
        <v>12</v>
      </c>
      <c r="AA10" s="17"/>
      <c r="AB10" s="15"/>
      <c r="AC10" s="16"/>
      <c r="AD10" s="2"/>
      <c r="AE10" s="4" t="s">
        <v>51</v>
      </c>
      <c r="AF10" s="4"/>
      <c r="AG10" s="4"/>
      <c r="AH10" s="4"/>
      <c r="AI10" s="4"/>
      <c r="AJ10" s="4"/>
      <c r="AK10" s="97" t="s">
        <v>11</v>
      </c>
      <c r="AL10" s="97"/>
      <c r="AM10" s="98"/>
      <c r="AN10" s="98"/>
      <c r="AO10" s="216" t="s">
        <v>133</v>
      </c>
      <c r="AP10" s="18" t="s">
        <v>12</v>
      </c>
      <c r="AQ10" s="19"/>
      <c r="AR10" s="18"/>
      <c r="AS10" s="16"/>
      <c r="AT10" s="2"/>
      <c r="AU10" s="4" t="s">
        <v>50</v>
      </c>
      <c r="AV10" s="4"/>
      <c r="AW10" s="4"/>
      <c r="AX10" s="4"/>
      <c r="AY10" s="4"/>
      <c r="BH10" s="42" t="s">
        <v>51</v>
      </c>
      <c r="BM10" s="42" t="s">
        <v>50</v>
      </c>
    </row>
    <row r="11" spans="1:69" s="51" customFormat="1" x14ac:dyDescent="0.25">
      <c r="A11" s="209"/>
      <c r="B11" s="211"/>
      <c r="C11" s="213"/>
      <c r="D11" s="209"/>
      <c r="E11" s="209"/>
      <c r="F11" s="209"/>
      <c r="G11" s="219"/>
      <c r="H11" s="220"/>
      <c r="I11" s="34"/>
      <c r="J11" s="55" t="s">
        <v>15</v>
      </c>
      <c r="K11" s="35" t="s">
        <v>9</v>
      </c>
      <c r="L11" s="35" t="s">
        <v>14</v>
      </c>
      <c r="M11" s="56" t="s">
        <v>42</v>
      </c>
      <c r="N11" s="56" t="s">
        <v>1</v>
      </c>
      <c r="O11" s="35" t="s">
        <v>15</v>
      </c>
      <c r="P11" s="35"/>
      <c r="Q11" s="35" t="s">
        <v>9</v>
      </c>
      <c r="R11" s="35"/>
      <c r="S11" s="35" t="s">
        <v>10</v>
      </c>
      <c r="T11" s="35"/>
      <c r="U11" s="99" t="s">
        <v>2</v>
      </c>
      <c r="V11" s="99" t="s">
        <v>16</v>
      </c>
      <c r="W11" s="99" t="s">
        <v>9</v>
      </c>
      <c r="X11" s="100" t="s">
        <v>10</v>
      </c>
      <c r="Y11" s="217"/>
      <c r="Z11" s="20" t="s">
        <v>2</v>
      </c>
      <c r="AA11" s="35" t="s">
        <v>16</v>
      </c>
      <c r="AB11" s="35" t="s">
        <v>9</v>
      </c>
      <c r="AC11" s="56" t="s">
        <v>10</v>
      </c>
      <c r="AD11" s="14" t="s">
        <v>116</v>
      </c>
      <c r="AE11" s="41" t="s">
        <v>161</v>
      </c>
      <c r="AF11" s="41" t="s">
        <v>23</v>
      </c>
      <c r="AG11" s="41" t="s">
        <v>41</v>
      </c>
      <c r="AH11" s="41" t="s">
        <v>25</v>
      </c>
      <c r="AI11" s="38" t="s">
        <v>22</v>
      </c>
      <c r="AJ11" s="41"/>
      <c r="AK11" s="99" t="s">
        <v>2</v>
      </c>
      <c r="AL11" s="99" t="s">
        <v>16</v>
      </c>
      <c r="AM11" s="99" t="s">
        <v>9</v>
      </c>
      <c r="AN11" s="100" t="s">
        <v>10</v>
      </c>
      <c r="AO11" s="217"/>
      <c r="AP11" s="20" t="s">
        <v>2</v>
      </c>
      <c r="AQ11" s="35" t="s">
        <v>16</v>
      </c>
      <c r="AR11" s="35" t="s">
        <v>9</v>
      </c>
      <c r="AS11" s="35" t="s">
        <v>10</v>
      </c>
      <c r="AT11" s="14" t="s">
        <v>116</v>
      </c>
      <c r="AU11" s="41" t="s">
        <v>161</v>
      </c>
      <c r="AV11" s="41" t="s">
        <v>23</v>
      </c>
      <c r="AW11" s="41" t="s">
        <v>41</v>
      </c>
      <c r="AX11" s="41" t="s">
        <v>25</v>
      </c>
      <c r="AY11" s="38" t="s">
        <v>22</v>
      </c>
      <c r="BB11" s="44"/>
      <c r="BC11" s="42" t="s">
        <v>51</v>
      </c>
      <c r="BD11" s="42" t="s">
        <v>50</v>
      </c>
      <c r="BE11" s="42"/>
      <c r="BF11" s="42"/>
      <c r="BG11" s="42"/>
      <c r="BH11" s="42" t="s">
        <v>27</v>
      </c>
      <c r="BI11" s="42" t="s">
        <v>26</v>
      </c>
      <c r="BJ11" s="42" t="s">
        <v>28</v>
      </c>
      <c r="BK11" s="42" t="s">
        <v>89</v>
      </c>
      <c r="BL11" s="42" t="s">
        <v>29</v>
      </c>
      <c r="BM11" s="42" t="s">
        <v>27</v>
      </c>
      <c r="BN11" s="42" t="s">
        <v>26</v>
      </c>
      <c r="BO11" s="42" t="s">
        <v>28</v>
      </c>
      <c r="BP11" s="42" t="s">
        <v>89</v>
      </c>
      <c r="BQ11" s="42" t="s">
        <v>29</v>
      </c>
    </row>
    <row r="12" spans="1:69" s="2" customFormat="1" x14ac:dyDescent="0.25">
      <c r="A12" s="128"/>
      <c r="B12" s="166"/>
      <c r="C12" s="126"/>
      <c r="D12" s="57" t="e">
        <f>VLOOKUP(G12,[1]!ModTbl,2,0)</f>
        <v>#N/A</v>
      </c>
      <c r="E12" s="57" t="e">
        <f>VLOOKUP(G12,[1]!ModTbl,3,0)</f>
        <v>#N/A</v>
      </c>
      <c r="F12" s="57" t="e">
        <f>VLOOKUP(G12,[1]!ModTbl,4,0)</f>
        <v>#N/A</v>
      </c>
      <c r="G12" s="25"/>
      <c r="H12" s="128"/>
      <c r="I12" s="128"/>
      <c r="J12" s="58" t="e">
        <f>VLOOKUP(G12,[1]!ModTbl,8,0)</f>
        <v>#N/A</v>
      </c>
      <c r="K12" s="58" t="e">
        <f>VLOOKUP(G12,[1]!ModTbl,9,0)</f>
        <v>#N/A</v>
      </c>
      <c r="L12" s="58" t="e">
        <f>VLOOKUP(G12,[1]!ModTbl,10,0)</f>
        <v>#N/A</v>
      </c>
      <c r="M12" s="58">
        <v>0</v>
      </c>
      <c r="N12" s="126" t="e">
        <f>SUM(J12:L12)</f>
        <v>#N/A</v>
      </c>
      <c r="O12" s="126" t="e">
        <f>J12/15</f>
        <v>#N/A</v>
      </c>
      <c r="P12" s="126" t="e">
        <f t="shared" ref="P12:Q12" si="0">J12/15</f>
        <v>#N/A</v>
      </c>
      <c r="Q12" s="126" t="e">
        <f t="shared" si="0"/>
        <v>#N/A</v>
      </c>
      <c r="R12" s="126" t="e">
        <f t="shared" ref="R12:S12" si="1">K12/15</f>
        <v>#N/A</v>
      </c>
      <c r="S12" s="126" t="e">
        <f t="shared" si="1"/>
        <v>#N/A</v>
      </c>
      <c r="T12" s="126" t="e">
        <f>L12/15</f>
        <v>#N/A</v>
      </c>
      <c r="U12" s="94" t="e">
        <f>IF(J12&lt;&gt;0,IF(I12="Y",IF(Y12&lt;&gt;0,1,0),0),0)</f>
        <v>#N/A</v>
      </c>
      <c r="V12" s="94" t="e">
        <f>IF(J12&lt;&gt;0,ROUNDUP(AD12/2,0),0)</f>
        <v>#N/A</v>
      </c>
      <c r="W12" s="94" t="e">
        <f>IF(K12&lt;&gt;0,AD12,0)</f>
        <v>#N/A</v>
      </c>
      <c r="X12" s="94" t="e">
        <f>IF(L12&lt;&gt;0,AD12,0)</f>
        <v>#N/A</v>
      </c>
      <c r="Y12" s="95">
        <f>AI12</f>
        <v>0</v>
      </c>
      <c r="Z12" s="126" t="e">
        <f>U12*J12</f>
        <v>#N/A</v>
      </c>
      <c r="AA12" s="126" t="e">
        <f>V12*J12</f>
        <v>#N/A</v>
      </c>
      <c r="AB12" s="126" t="e">
        <f>W12*K12</f>
        <v>#N/A</v>
      </c>
      <c r="AC12" s="126" t="e">
        <f>X12*L12</f>
        <v>#N/A</v>
      </c>
      <c r="AD12" s="126"/>
      <c r="AE12" s="126"/>
      <c r="AF12" s="126"/>
      <c r="AG12" s="126"/>
      <c r="AH12" s="126"/>
      <c r="AI12" s="126">
        <f>SUM(AE12:AH12)</f>
        <v>0</v>
      </c>
      <c r="AJ12" s="126"/>
      <c r="AK12" s="94" t="e">
        <f>IF(J12&lt;&gt;0,IF(I12="Y",IF(AO12&lt;&gt;0,1,0),0),0)</f>
        <v>#N/A</v>
      </c>
      <c r="AL12" s="94" t="e">
        <f>IF(J12&lt;&gt;0,ROUNDUP(AT12/2,0),0)</f>
        <v>#N/A</v>
      </c>
      <c r="AM12" s="94" t="e">
        <f>IF(K12&lt;&gt;0,AT12,0)</f>
        <v>#N/A</v>
      </c>
      <c r="AN12" s="94" t="e">
        <f>IF(L12&lt;&gt;0,AT12,0)</f>
        <v>#N/A</v>
      </c>
      <c r="AO12" s="95">
        <f>AY12</f>
        <v>0</v>
      </c>
      <c r="AP12" s="126" t="e">
        <f>AK12*AVERAGE(O12:P12)*15</f>
        <v>#N/A</v>
      </c>
      <c r="AQ12" s="126" t="e">
        <f>AL12*AVERAGE(O12:P12)*15</f>
        <v>#N/A</v>
      </c>
      <c r="AR12" s="126" t="e">
        <f>AM12*AVERAGE(Q12:R12)*15</f>
        <v>#N/A</v>
      </c>
      <c r="AS12" s="126" t="e">
        <f>AN12*AVERAGE(S12:T12)*15</f>
        <v>#N/A</v>
      </c>
      <c r="AT12" s="126">
        <v>0</v>
      </c>
      <c r="AU12" s="126"/>
      <c r="AV12" s="126"/>
      <c r="AW12" s="126"/>
      <c r="AX12" s="126"/>
      <c r="AY12" s="126">
        <f>SUM($AU12:$AX12)</f>
        <v>0</v>
      </c>
      <c r="AZ12" s="127"/>
      <c r="BA12" s="127"/>
      <c r="BC12" s="27" t="e">
        <f>SUM(Z12:AC12)</f>
        <v>#N/A</v>
      </c>
      <c r="BD12" s="27" t="e">
        <f>SUM(AP12:AS12)</f>
        <v>#N/A</v>
      </c>
      <c r="BE12" s="27"/>
      <c r="BF12" s="27">
        <f>IF($BD$3="S1",IF(Y12=0,0,IF(ISNUMBER(SEARCH("Changed",H12)),2,1)),IF(AO12=0,0,IF(ISNUMBER(SEARCH("Changed",H12)),2,1)))</f>
        <v>0</v>
      </c>
      <c r="BG12" s="27"/>
      <c r="BH12" s="27" t="e">
        <f>Z12+AA12</f>
        <v>#N/A</v>
      </c>
      <c r="BI12" s="27" t="e">
        <f t="shared" ref="BI12:BJ12" si="2">AB12</f>
        <v>#N/A</v>
      </c>
      <c r="BJ12" s="27" t="e">
        <f t="shared" si="2"/>
        <v>#N/A</v>
      </c>
      <c r="BK12" s="27"/>
      <c r="BL12" s="27"/>
      <c r="BM12" s="27" t="e">
        <f>AP12+AQ12</f>
        <v>#N/A</v>
      </c>
      <c r="BN12" s="27" t="e">
        <f t="shared" ref="BN12:BO12" si="3">AR12</f>
        <v>#N/A</v>
      </c>
      <c r="BO12" s="27" t="e">
        <f t="shared" si="3"/>
        <v>#N/A</v>
      </c>
      <c r="BP12" s="27"/>
      <c r="BQ12" s="27"/>
    </row>
    <row r="13" spans="1:69" s="2" customFormat="1" x14ac:dyDescent="0.25">
      <c r="A13" s="128"/>
      <c r="B13" s="166"/>
      <c r="C13" s="126"/>
      <c r="D13" s="57" t="e">
        <f>VLOOKUP(G13,[1]!ModTbl,2,0)</f>
        <v>#N/A</v>
      </c>
      <c r="E13" s="57" t="e">
        <f>VLOOKUP(G13,[1]!ModTbl,3,0)</f>
        <v>#N/A</v>
      </c>
      <c r="F13" s="57" t="e">
        <f>VLOOKUP(G13,[1]!ModTbl,4,0)</f>
        <v>#N/A</v>
      </c>
      <c r="G13" s="25"/>
      <c r="H13" s="128"/>
      <c r="I13" s="128"/>
      <c r="J13" s="58" t="e">
        <f>VLOOKUP(G13,[1]!ModTbl,8,0)</f>
        <v>#N/A</v>
      </c>
      <c r="K13" s="58" t="e">
        <f>VLOOKUP(G13,[1]!ModTbl,9,0)</f>
        <v>#N/A</v>
      </c>
      <c r="L13" s="58" t="e">
        <f>VLOOKUP(G13,[1]!ModTbl,10,0)</f>
        <v>#N/A</v>
      </c>
      <c r="M13" s="58">
        <v>0</v>
      </c>
      <c r="N13" s="126" t="e">
        <f t="shared" ref="N13:N57" si="4">SUM(J13:L13)</f>
        <v>#N/A</v>
      </c>
      <c r="O13" s="126" t="e">
        <f t="shared" ref="O13:O76" si="5">J13/15</f>
        <v>#N/A</v>
      </c>
      <c r="P13" s="126" t="e">
        <f t="shared" ref="P13:P76" si="6">J13/15</f>
        <v>#N/A</v>
      </c>
      <c r="Q13" s="126" t="e">
        <f t="shared" ref="Q13:Q76" si="7">K13/15</f>
        <v>#N/A</v>
      </c>
      <c r="R13" s="126" t="e">
        <f t="shared" ref="R13:R76" si="8">K13/15</f>
        <v>#N/A</v>
      </c>
      <c r="S13" s="126" t="e">
        <f t="shared" ref="S13:S76" si="9">L13/15</f>
        <v>#N/A</v>
      </c>
      <c r="T13" s="126" t="e">
        <f t="shared" ref="T13:T76" si="10">L13/15</f>
        <v>#N/A</v>
      </c>
      <c r="U13" s="94" t="e">
        <f t="shared" ref="U13:U76" si="11">IF(J13&lt;&gt;0,IF(I13="Y",IF(Y13&lt;&gt;0,1,0),0),0)</f>
        <v>#N/A</v>
      </c>
      <c r="V13" s="94" t="e">
        <f t="shared" ref="V13:V76" si="12">IF(J13&lt;&gt;0,ROUNDUP(AD13/2,0),0)</f>
        <v>#N/A</v>
      </c>
      <c r="W13" s="94" t="e">
        <f t="shared" ref="W13:W76" si="13">IF(K13&lt;&gt;0,AD13,0)</f>
        <v>#N/A</v>
      </c>
      <c r="X13" s="94" t="e">
        <f t="shared" ref="X13:X76" si="14">IF(L13&lt;&gt;0,AD13,0)</f>
        <v>#N/A</v>
      </c>
      <c r="Y13" s="95">
        <f t="shared" ref="Y13:Y76" si="15">AI13</f>
        <v>0</v>
      </c>
      <c r="Z13" s="126" t="e">
        <f t="shared" ref="Z13:Z76" si="16">U13*J13</f>
        <v>#N/A</v>
      </c>
      <c r="AA13" s="126" t="e">
        <f t="shared" ref="AA13:AA76" si="17">V13*J13</f>
        <v>#N/A</v>
      </c>
      <c r="AB13" s="126" t="e">
        <f t="shared" ref="AB13:AB76" si="18">W13*K13</f>
        <v>#N/A</v>
      </c>
      <c r="AC13" s="126" t="e">
        <f t="shared" ref="AC13:AC76" si="19">X13*L13</f>
        <v>#N/A</v>
      </c>
      <c r="AD13" s="126"/>
      <c r="AE13" s="126"/>
      <c r="AF13" s="126"/>
      <c r="AG13" s="126"/>
      <c r="AH13" s="126"/>
      <c r="AI13" s="126">
        <f t="shared" ref="AI13:AI57" si="20">SUM(AE13:AH13)</f>
        <v>0</v>
      </c>
      <c r="AJ13" s="126"/>
      <c r="AK13" s="94" t="e">
        <f t="shared" ref="AK13:AK76" si="21">IF(J13&lt;&gt;0,IF(I13="Y",IF(AO13&lt;&gt;0,1,0),0),0)</f>
        <v>#N/A</v>
      </c>
      <c r="AL13" s="94" t="e">
        <f t="shared" ref="AL13:AL76" si="22">IF(J13&lt;&gt;0,ROUNDUP(AT13/2,0),0)</f>
        <v>#N/A</v>
      </c>
      <c r="AM13" s="94" t="e">
        <f t="shared" ref="AM13:AM76" si="23">IF(K13&lt;&gt;0,AT13,0)</f>
        <v>#N/A</v>
      </c>
      <c r="AN13" s="94" t="e">
        <f t="shared" ref="AN13:AN76" si="24">IF(L13&lt;&gt;0,AT13,0)</f>
        <v>#N/A</v>
      </c>
      <c r="AO13" s="95">
        <f t="shared" ref="AO13:AO76" si="25">AY13</f>
        <v>0</v>
      </c>
      <c r="AP13" s="126" t="e">
        <f t="shared" ref="AP13:AP76" si="26">AK13*AVERAGE(O13:P13)*15</f>
        <v>#N/A</v>
      </c>
      <c r="AQ13" s="126" t="e">
        <f t="shared" ref="AQ13:AQ76" si="27">AL13*AVERAGE(O13:P13)*15</f>
        <v>#N/A</v>
      </c>
      <c r="AR13" s="126" t="e">
        <f t="shared" ref="AR13:AR76" si="28">AM13*AVERAGE(Q13:R13)*15</f>
        <v>#N/A</v>
      </c>
      <c r="AS13" s="126" t="e">
        <f t="shared" ref="AS13:AS76" si="29">AN13*AVERAGE(S13:T13)*15</f>
        <v>#N/A</v>
      </c>
      <c r="AT13" s="126">
        <v>0</v>
      </c>
      <c r="AU13" s="126"/>
      <c r="AV13" s="126"/>
      <c r="AW13" s="126"/>
      <c r="AX13" s="126"/>
      <c r="AY13" s="126">
        <f t="shared" ref="AY13:AY76" si="30">SUM($AU13:$AX13)</f>
        <v>0</v>
      </c>
      <c r="AZ13" s="127"/>
      <c r="BA13" s="127"/>
      <c r="BC13" s="27" t="e">
        <f t="shared" ref="BC13:BC76" si="31">SUM(Z13:AC13)</f>
        <v>#N/A</v>
      </c>
      <c r="BD13" s="27" t="e">
        <f t="shared" ref="BD13:BD76" si="32">SUM(AP13:AS13)</f>
        <v>#N/A</v>
      </c>
      <c r="BE13" s="27"/>
      <c r="BF13" s="27">
        <f t="shared" ref="BF13:BF76" si="33">IF($BD$3="S1",IF(Y13=0,0,IF(ISNUMBER(SEARCH("Changed",H13)),2,1)),IF(AO13=0,0,IF(ISNUMBER(SEARCH("Changed",H13)),2,1)))</f>
        <v>0</v>
      </c>
      <c r="BG13" s="27"/>
      <c r="BH13" s="27" t="e">
        <f t="shared" ref="BH13:BH76" si="34">Z13+AA13</f>
        <v>#N/A</v>
      </c>
      <c r="BI13" s="27" t="e">
        <f t="shared" ref="BI13:BI76" si="35">AB13</f>
        <v>#N/A</v>
      </c>
      <c r="BJ13" s="27" t="e">
        <f t="shared" ref="BJ13:BJ76" si="36">AC13</f>
        <v>#N/A</v>
      </c>
      <c r="BK13" s="27"/>
      <c r="BL13" s="27"/>
      <c r="BM13" s="27" t="e">
        <f t="shared" ref="BM13:BM76" si="37">AP13+AQ13</f>
        <v>#N/A</v>
      </c>
      <c r="BN13" s="27" t="e">
        <f t="shared" ref="BN13:BN76" si="38">AR13</f>
        <v>#N/A</v>
      </c>
      <c r="BO13" s="27" t="e">
        <f t="shared" ref="BO13:BO76" si="39">AS13</f>
        <v>#N/A</v>
      </c>
      <c r="BP13" s="27"/>
      <c r="BQ13" s="27"/>
    </row>
    <row r="14" spans="1:69" s="2" customFormat="1" x14ac:dyDescent="0.25">
      <c r="A14" s="128"/>
      <c r="B14" s="166"/>
      <c r="C14" s="126"/>
      <c r="D14" s="57" t="e">
        <f>VLOOKUP(G14,[1]!ModTbl,2,0)</f>
        <v>#N/A</v>
      </c>
      <c r="E14" s="57" t="e">
        <f>VLOOKUP(G14,[1]!ModTbl,3,0)</f>
        <v>#N/A</v>
      </c>
      <c r="F14" s="57" t="e">
        <f>VLOOKUP(G14,[1]!ModTbl,4,0)</f>
        <v>#N/A</v>
      </c>
      <c r="G14" s="25"/>
      <c r="H14" s="128"/>
      <c r="I14" s="128"/>
      <c r="J14" s="58" t="e">
        <f>VLOOKUP(G14,[1]!ModTbl,8,0)</f>
        <v>#N/A</v>
      </c>
      <c r="K14" s="58" t="e">
        <f>VLOOKUP(G14,[1]!ModTbl,9,0)</f>
        <v>#N/A</v>
      </c>
      <c r="L14" s="58" t="e">
        <f>VLOOKUP(G14,[1]!ModTbl,10,0)</f>
        <v>#N/A</v>
      </c>
      <c r="M14" s="58">
        <v>0</v>
      </c>
      <c r="N14" s="126" t="e">
        <f t="shared" si="4"/>
        <v>#N/A</v>
      </c>
      <c r="O14" s="126" t="e">
        <f t="shared" si="5"/>
        <v>#N/A</v>
      </c>
      <c r="P14" s="126" t="e">
        <f t="shared" si="6"/>
        <v>#N/A</v>
      </c>
      <c r="Q14" s="126" t="e">
        <f t="shared" si="7"/>
        <v>#N/A</v>
      </c>
      <c r="R14" s="126" t="e">
        <f t="shared" si="8"/>
        <v>#N/A</v>
      </c>
      <c r="S14" s="126" t="e">
        <f t="shared" si="9"/>
        <v>#N/A</v>
      </c>
      <c r="T14" s="126" t="e">
        <f t="shared" si="10"/>
        <v>#N/A</v>
      </c>
      <c r="U14" s="94" t="e">
        <f t="shared" si="11"/>
        <v>#N/A</v>
      </c>
      <c r="V14" s="94" t="e">
        <f t="shared" si="12"/>
        <v>#N/A</v>
      </c>
      <c r="W14" s="94" t="e">
        <f t="shared" si="13"/>
        <v>#N/A</v>
      </c>
      <c r="X14" s="94" t="e">
        <f t="shared" si="14"/>
        <v>#N/A</v>
      </c>
      <c r="Y14" s="95">
        <f t="shared" si="15"/>
        <v>0</v>
      </c>
      <c r="Z14" s="126" t="e">
        <f t="shared" si="16"/>
        <v>#N/A</v>
      </c>
      <c r="AA14" s="126" t="e">
        <f t="shared" si="17"/>
        <v>#N/A</v>
      </c>
      <c r="AB14" s="126" t="e">
        <f t="shared" si="18"/>
        <v>#N/A</v>
      </c>
      <c r="AC14" s="126" t="e">
        <f t="shared" si="19"/>
        <v>#N/A</v>
      </c>
      <c r="AD14" s="126"/>
      <c r="AE14" s="126"/>
      <c r="AF14" s="126"/>
      <c r="AG14" s="126"/>
      <c r="AH14" s="126"/>
      <c r="AI14" s="126">
        <f t="shared" si="20"/>
        <v>0</v>
      </c>
      <c r="AJ14" s="126"/>
      <c r="AK14" s="94" t="e">
        <f t="shared" si="21"/>
        <v>#N/A</v>
      </c>
      <c r="AL14" s="94" t="e">
        <f t="shared" si="22"/>
        <v>#N/A</v>
      </c>
      <c r="AM14" s="94" t="e">
        <f t="shared" si="23"/>
        <v>#N/A</v>
      </c>
      <c r="AN14" s="94" t="e">
        <f t="shared" si="24"/>
        <v>#N/A</v>
      </c>
      <c r="AO14" s="95">
        <f t="shared" si="25"/>
        <v>0</v>
      </c>
      <c r="AP14" s="126" t="e">
        <f t="shared" si="26"/>
        <v>#N/A</v>
      </c>
      <c r="AQ14" s="126" t="e">
        <f t="shared" si="27"/>
        <v>#N/A</v>
      </c>
      <c r="AR14" s="126" t="e">
        <f t="shared" si="28"/>
        <v>#N/A</v>
      </c>
      <c r="AS14" s="126" t="e">
        <f t="shared" si="29"/>
        <v>#N/A</v>
      </c>
      <c r="AT14" s="126">
        <v>0</v>
      </c>
      <c r="AU14" s="126"/>
      <c r="AV14" s="126"/>
      <c r="AW14" s="126"/>
      <c r="AX14" s="126"/>
      <c r="AY14" s="126">
        <f t="shared" si="30"/>
        <v>0</v>
      </c>
      <c r="AZ14" s="127"/>
      <c r="BA14" s="127"/>
      <c r="BC14" s="27" t="e">
        <f t="shared" si="31"/>
        <v>#N/A</v>
      </c>
      <c r="BD14" s="27" t="e">
        <f t="shared" si="32"/>
        <v>#N/A</v>
      </c>
      <c r="BE14" s="27"/>
      <c r="BF14" s="27">
        <f t="shared" si="33"/>
        <v>0</v>
      </c>
      <c r="BG14" s="27"/>
      <c r="BH14" s="27" t="e">
        <f t="shared" si="34"/>
        <v>#N/A</v>
      </c>
      <c r="BI14" s="27" t="e">
        <f t="shared" si="35"/>
        <v>#N/A</v>
      </c>
      <c r="BJ14" s="27" t="e">
        <f t="shared" si="36"/>
        <v>#N/A</v>
      </c>
      <c r="BK14" s="27"/>
      <c r="BL14" s="27"/>
      <c r="BM14" s="27" t="e">
        <f t="shared" si="37"/>
        <v>#N/A</v>
      </c>
      <c r="BN14" s="27" t="e">
        <f t="shared" si="38"/>
        <v>#N/A</v>
      </c>
      <c r="BO14" s="27" t="e">
        <f t="shared" si="39"/>
        <v>#N/A</v>
      </c>
      <c r="BP14" s="27"/>
      <c r="BQ14" s="27"/>
    </row>
    <row r="15" spans="1:69" s="2" customFormat="1" x14ac:dyDescent="0.25">
      <c r="A15" s="128"/>
      <c r="B15" s="166"/>
      <c r="C15" s="126"/>
      <c r="D15" s="57" t="e">
        <f>VLOOKUP(G15,[1]!ModTbl,2,0)</f>
        <v>#N/A</v>
      </c>
      <c r="E15" s="57" t="e">
        <f>VLOOKUP(G15,[1]!ModTbl,3,0)</f>
        <v>#N/A</v>
      </c>
      <c r="F15" s="57" t="e">
        <f>VLOOKUP(G15,[1]!ModTbl,4,0)</f>
        <v>#N/A</v>
      </c>
      <c r="G15" s="25"/>
      <c r="H15" s="128"/>
      <c r="I15" s="128"/>
      <c r="J15" s="58" t="e">
        <f>VLOOKUP(G15,[1]!ModTbl,8,0)</f>
        <v>#N/A</v>
      </c>
      <c r="K15" s="58" t="e">
        <f>VLOOKUP(G15,[1]!ModTbl,9,0)</f>
        <v>#N/A</v>
      </c>
      <c r="L15" s="58" t="e">
        <f>VLOOKUP(G15,[1]!ModTbl,10,0)</f>
        <v>#N/A</v>
      </c>
      <c r="M15" s="58">
        <v>0</v>
      </c>
      <c r="N15" s="126" t="e">
        <f t="shared" si="4"/>
        <v>#N/A</v>
      </c>
      <c r="O15" s="126" t="e">
        <f t="shared" si="5"/>
        <v>#N/A</v>
      </c>
      <c r="P15" s="126" t="e">
        <f t="shared" si="6"/>
        <v>#N/A</v>
      </c>
      <c r="Q15" s="126" t="e">
        <f t="shared" si="7"/>
        <v>#N/A</v>
      </c>
      <c r="R15" s="126" t="e">
        <f t="shared" si="8"/>
        <v>#N/A</v>
      </c>
      <c r="S15" s="126" t="e">
        <f t="shared" si="9"/>
        <v>#N/A</v>
      </c>
      <c r="T15" s="126" t="e">
        <f t="shared" si="10"/>
        <v>#N/A</v>
      </c>
      <c r="U15" s="94" t="e">
        <f t="shared" si="11"/>
        <v>#N/A</v>
      </c>
      <c r="V15" s="94" t="e">
        <f t="shared" si="12"/>
        <v>#N/A</v>
      </c>
      <c r="W15" s="94" t="e">
        <f t="shared" si="13"/>
        <v>#N/A</v>
      </c>
      <c r="X15" s="94" t="e">
        <f t="shared" si="14"/>
        <v>#N/A</v>
      </c>
      <c r="Y15" s="95">
        <f t="shared" si="15"/>
        <v>0</v>
      </c>
      <c r="Z15" s="126" t="e">
        <f t="shared" si="16"/>
        <v>#N/A</v>
      </c>
      <c r="AA15" s="126" t="e">
        <f t="shared" si="17"/>
        <v>#N/A</v>
      </c>
      <c r="AB15" s="126" t="e">
        <f t="shared" si="18"/>
        <v>#N/A</v>
      </c>
      <c r="AC15" s="126" t="e">
        <f t="shared" si="19"/>
        <v>#N/A</v>
      </c>
      <c r="AD15" s="126"/>
      <c r="AE15" s="126"/>
      <c r="AF15" s="126"/>
      <c r="AG15" s="126"/>
      <c r="AH15" s="126"/>
      <c r="AI15" s="126">
        <f t="shared" si="20"/>
        <v>0</v>
      </c>
      <c r="AJ15" s="126"/>
      <c r="AK15" s="94" t="e">
        <f t="shared" si="21"/>
        <v>#N/A</v>
      </c>
      <c r="AL15" s="94" t="e">
        <f t="shared" si="22"/>
        <v>#N/A</v>
      </c>
      <c r="AM15" s="94" t="e">
        <f t="shared" si="23"/>
        <v>#N/A</v>
      </c>
      <c r="AN15" s="94" t="e">
        <f t="shared" si="24"/>
        <v>#N/A</v>
      </c>
      <c r="AO15" s="95">
        <f t="shared" si="25"/>
        <v>0</v>
      </c>
      <c r="AP15" s="126" t="e">
        <f t="shared" si="26"/>
        <v>#N/A</v>
      </c>
      <c r="AQ15" s="126" t="e">
        <f t="shared" si="27"/>
        <v>#N/A</v>
      </c>
      <c r="AR15" s="126" t="e">
        <f t="shared" si="28"/>
        <v>#N/A</v>
      </c>
      <c r="AS15" s="126" t="e">
        <f t="shared" si="29"/>
        <v>#N/A</v>
      </c>
      <c r="AT15" s="126">
        <v>0</v>
      </c>
      <c r="AU15" s="126"/>
      <c r="AV15" s="126"/>
      <c r="AW15" s="126"/>
      <c r="AX15" s="126"/>
      <c r="AY15" s="126">
        <f t="shared" si="30"/>
        <v>0</v>
      </c>
      <c r="AZ15" s="127"/>
      <c r="BA15" s="127"/>
      <c r="BC15" s="27" t="e">
        <f t="shared" si="31"/>
        <v>#N/A</v>
      </c>
      <c r="BD15" s="27" t="e">
        <f t="shared" si="32"/>
        <v>#N/A</v>
      </c>
      <c r="BE15" s="27"/>
      <c r="BF15" s="27">
        <f t="shared" si="33"/>
        <v>0</v>
      </c>
      <c r="BG15" s="27"/>
      <c r="BH15" s="27" t="e">
        <f t="shared" si="34"/>
        <v>#N/A</v>
      </c>
      <c r="BI15" s="27" t="e">
        <f t="shared" si="35"/>
        <v>#N/A</v>
      </c>
      <c r="BJ15" s="27" t="e">
        <f t="shared" si="36"/>
        <v>#N/A</v>
      </c>
      <c r="BK15" s="27"/>
      <c r="BL15" s="27"/>
      <c r="BM15" s="27" t="e">
        <f t="shared" si="37"/>
        <v>#N/A</v>
      </c>
      <c r="BN15" s="27" t="e">
        <f t="shared" si="38"/>
        <v>#N/A</v>
      </c>
      <c r="BO15" s="27" t="e">
        <f t="shared" si="39"/>
        <v>#N/A</v>
      </c>
      <c r="BP15" s="27"/>
      <c r="BQ15" s="27"/>
    </row>
    <row r="16" spans="1:69" s="2" customFormat="1" x14ac:dyDescent="0.25">
      <c r="A16" s="128"/>
      <c r="B16" s="166"/>
      <c r="C16" s="126"/>
      <c r="D16" s="57" t="e">
        <f>VLOOKUP(G16,[1]!ModTbl,2,0)</f>
        <v>#N/A</v>
      </c>
      <c r="E16" s="57" t="e">
        <f>VLOOKUP(G16,[1]!ModTbl,3,0)</f>
        <v>#N/A</v>
      </c>
      <c r="F16" s="57" t="e">
        <f>VLOOKUP(G16,[1]!ModTbl,4,0)</f>
        <v>#N/A</v>
      </c>
      <c r="G16" s="25"/>
      <c r="H16" s="128"/>
      <c r="I16" s="128"/>
      <c r="J16" s="58" t="e">
        <f>VLOOKUP(G16,[1]!ModTbl,8,0)</f>
        <v>#N/A</v>
      </c>
      <c r="K16" s="58" t="e">
        <f>VLOOKUP(G16,[1]!ModTbl,9,0)</f>
        <v>#N/A</v>
      </c>
      <c r="L16" s="58" t="e">
        <f>VLOOKUP(G16,[1]!ModTbl,10,0)</f>
        <v>#N/A</v>
      </c>
      <c r="M16" s="58">
        <v>0</v>
      </c>
      <c r="N16" s="126" t="e">
        <f t="shared" si="4"/>
        <v>#N/A</v>
      </c>
      <c r="O16" s="126" t="e">
        <f t="shared" si="5"/>
        <v>#N/A</v>
      </c>
      <c r="P16" s="126" t="e">
        <f t="shared" si="6"/>
        <v>#N/A</v>
      </c>
      <c r="Q16" s="126" t="e">
        <f t="shared" si="7"/>
        <v>#N/A</v>
      </c>
      <c r="R16" s="126" t="e">
        <f t="shared" si="8"/>
        <v>#N/A</v>
      </c>
      <c r="S16" s="126" t="e">
        <f t="shared" si="9"/>
        <v>#N/A</v>
      </c>
      <c r="T16" s="126" t="e">
        <f t="shared" si="10"/>
        <v>#N/A</v>
      </c>
      <c r="U16" s="94" t="e">
        <f t="shared" si="11"/>
        <v>#N/A</v>
      </c>
      <c r="V16" s="94" t="e">
        <f t="shared" si="12"/>
        <v>#N/A</v>
      </c>
      <c r="W16" s="94" t="e">
        <f t="shared" si="13"/>
        <v>#N/A</v>
      </c>
      <c r="X16" s="94" t="e">
        <f t="shared" si="14"/>
        <v>#N/A</v>
      </c>
      <c r="Y16" s="95">
        <f t="shared" si="15"/>
        <v>0</v>
      </c>
      <c r="Z16" s="126" t="e">
        <f t="shared" si="16"/>
        <v>#N/A</v>
      </c>
      <c r="AA16" s="126" t="e">
        <f t="shared" si="17"/>
        <v>#N/A</v>
      </c>
      <c r="AB16" s="126" t="e">
        <f t="shared" si="18"/>
        <v>#N/A</v>
      </c>
      <c r="AC16" s="126" t="e">
        <f t="shared" si="19"/>
        <v>#N/A</v>
      </c>
      <c r="AD16" s="126"/>
      <c r="AE16" s="126"/>
      <c r="AF16" s="126"/>
      <c r="AG16" s="126"/>
      <c r="AH16" s="126"/>
      <c r="AI16" s="126">
        <f t="shared" si="20"/>
        <v>0</v>
      </c>
      <c r="AJ16" s="126"/>
      <c r="AK16" s="94" t="e">
        <f t="shared" si="21"/>
        <v>#N/A</v>
      </c>
      <c r="AL16" s="94" t="e">
        <f t="shared" si="22"/>
        <v>#N/A</v>
      </c>
      <c r="AM16" s="94" t="e">
        <f t="shared" si="23"/>
        <v>#N/A</v>
      </c>
      <c r="AN16" s="94" t="e">
        <f t="shared" si="24"/>
        <v>#N/A</v>
      </c>
      <c r="AO16" s="95">
        <f t="shared" si="25"/>
        <v>0</v>
      </c>
      <c r="AP16" s="126" t="e">
        <f t="shared" si="26"/>
        <v>#N/A</v>
      </c>
      <c r="AQ16" s="126" t="e">
        <f t="shared" si="27"/>
        <v>#N/A</v>
      </c>
      <c r="AR16" s="126" t="e">
        <f t="shared" si="28"/>
        <v>#N/A</v>
      </c>
      <c r="AS16" s="126" t="e">
        <f t="shared" si="29"/>
        <v>#N/A</v>
      </c>
      <c r="AT16" s="126">
        <v>0</v>
      </c>
      <c r="AU16" s="126"/>
      <c r="AV16" s="126"/>
      <c r="AW16" s="126"/>
      <c r="AX16" s="126"/>
      <c r="AY16" s="126">
        <f t="shared" si="30"/>
        <v>0</v>
      </c>
      <c r="AZ16" s="127"/>
      <c r="BA16" s="127"/>
      <c r="BC16" s="27" t="e">
        <f t="shared" si="31"/>
        <v>#N/A</v>
      </c>
      <c r="BD16" s="27" t="e">
        <f t="shared" si="32"/>
        <v>#N/A</v>
      </c>
      <c r="BE16" s="27"/>
      <c r="BF16" s="27">
        <f t="shared" si="33"/>
        <v>0</v>
      </c>
      <c r="BG16" s="27"/>
      <c r="BH16" s="27" t="e">
        <f t="shared" si="34"/>
        <v>#N/A</v>
      </c>
      <c r="BI16" s="27" t="e">
        <f t="shared" si="35"/>
        <v>#N/A</v>
      </c>
      <c r="BJ16" s="27" t="e">
        <f t="shared" si="36"/>
        <v>#N/A</v>
      </c>
      <c r="BK16" s="27"/>
      <c r="BL16" s="27"/>
      <c r="BM16" s="27" t="e">
        <f t="shared" si="37"/>
        <v>#N/A</v>
      </c>
      <c r="BN16" s="27" t="e">
        <f t="shared" si="38"/>
        <v>#N/A</v>
      </c>
      <c r="BO16" s="27" t="e">
        <f t="shared" si="39"/>
        <v>#N/A</v>
      </c>
      <c r="BP16" s="27"/>
      <c r="BQ16" s="27"/>
    </row>
    <row r="17" spans="1:69" s="2" customFormat="1" x14ac:dyDescent="0.25">
      <c r="A17" s="128"/>
      <c r="B17" s="166"/>
      <c r="C17" s="126"/>
      <c r="D17" s="57" t="e">
        <f>VLOOKUP(G17,[1]!ModTbl,2,0)</f>
        <v>#N/A</v>
      </c>
      <c r="E17" s="57" t="e">
        <f>VLOOKUP(G17,[1]!ModTbl,3,0)</f>
        <v>#N/A</v>
      </c>
      <c r="F17" s="57" t="e">
        <f>VLOOKUP(G17,[1]!ModTbl,4,0)</f>
        <v>#N/A</v>
      </c>
      <c r="G17" s="25"/>
      <c r="H17" s="128"/>
      <c r="I17" s="128"/>
      <c r="J17" s="58" t="e">
        <f>VLOOKUP(G17,[1]!ModTbl,8,0)</f>
        <v>#N/A</v>
      </c>
      <c r="K17" s="58" t="e">
        <f>VLOOKUP(G17,[1]!ModTbl,9,0)</f>
        <v>#N/A</v>
      </c>
      <c r="L17" s="58" t="e">
        <f>VLOOKUP(G17,[1]!ModTbl,10,0)</f>
        <v>#N/A</v>
      </c>
      <c r="M17" s="58">
        <v>0</v>
      </c>
      <c r="N17" s="126" t="e">
        <f t="shared" si="4"/>
        <v>#N/A</v>
      </c>
      <c r="O17" s="126" t="e">
        <f t="shared" si="5"/>
        <v>#N/A</v>
      </c>
      <c r="P17" s="126" t="e">
        <f t="shared" si="6"/>
        <v>#N/A</v>
      </c>
      <c r="Q17" s="126" t="e">
        <f t="shared" si="7"/>
        <v>#N/A</v>
      </c>
      <c r="R17" s="126" t="e">
        <f t="shared" si="8"/>
        <v>#N/A</v>
      </c>
      <c r="S17" s="126" t="e">
        <f t="shared" si="9"/>
        <v>#N/A</v>
      </c>
      <c r="T17" s="126" t="e">
        <f t="shared" si="10"/>
        <v>#N/A</v>
      </c>
      <c r="U17" s="94" t="e">
        <f t="shared" si="11"/>
        <v>#N/A</v>
      </c>
      <c r="V17" s="94" t="e">
        <f t="shared" si="12"/>
        <v>#N/A</v>
      </c>
      <c r="W17" s="94" t="e">
        <f t="shared" si="13"/>
        <v>#N/A</v>
      </c>
      <c r="X17" s="94" t="e">
        <f t="shared" si="14"/>
        <v>#N/A</v>
      </c>
      <c r="Y17" s="95">
        <f t="shared" si="15"/>
        <v>0</v>
      </c>
      <c r="Z17" s="126" t="e">
        <f t="shared" si="16"/>
        <v>#N/A</v>
      </c>
      <c r="AA17" s="126" t="e">
        <f t="shared" si="17"/>
        <v>#N/A</v>
      </c>
      <c r="AB17" s="126" t="e">
        <f t="shared" si="18"/>
        <v>#N/A</v>
      </c>
      <c r="AC17" s="126" t="e">
        <f t="shared" si="19"/>
        <v>#N/A</v>
      </c>
      <c r="AD17" s="126"/>
      <c r="AE17" s="126"/>
      <c r="AF17" s="126"/>
      <c r="AG17" s="126"/>
      <c r="AH17" s="126"/>
      <c r="AI17" s="126">
        <f t="shared" si="20"/>
        <v>0</v>
      </c>
      <c r="AJ17" s="126"/>
      <c r="AK17" s="94" t="e">
        <f t="shared" si="21"/>
        <v>#N/A</v>
      </c>
      <c r="AL17" s="94" t="e">
        <f t="shared" si="22"/>
        <v>#N/A</v>
      </c>
      <c r="AM17" s="94" t="e">
        <f t="shared" si="23"/>
        <v>#N/A</v>
      </c>
      <c r="AN17" s="94" t="e">
        <f t="shared" si="24"/>
        <v>#N/A</v>
      </c>
      <c r="AO17" s="95">
        <f t="shared" si="25"/>
        <v>0</v>
      </c>
      <c r="AP17" s="126" t="e">
        <f t="shared" si="26"/>
        <v>#N/A</v>
      </c>
      <c r="AQ17" s="126" t="e">
        <f t="shared" si="27"/>
        <v>#N/A</v>
      </c>
      <c r="AR17" s="126" t="e">
        <f t="shared" si="28"/>
        <v>#N/A</v>
      </c>
      <c r="AS17" s="126" t="e">
        <f t="shared" si="29"/>
        <v>#N/A</v>
      </c>
      <c r="AT17" s="126">
        <v>0</v>
      </c>
      <c r="AU17" s="126"/>
      <c r="AV17" s="126"/>
      <c r="AW17" s="126"/>
      <c r="AX17" s="126"/>
      <c r="AY17" s="126">
        <f t="shared" si="30"/>
        <v>0</v>
      </c>
      <c r="AZ17" s="127"/>
      <c r="BA17" s="127"/>
      <c r="BC17" s="27" t="e">
        <f t="shared" si="31"/>
        <v>#N/A</v>
      </c>
      <c r="BD17" s="27" t="e">
        <f t="shared" si="32"/>
        <v>#N/A</v>
      </c>
      <c r="BE17" s="27"/>
      <c r="BF17" s="27">
        <f t="shared" si="33"/>
        <v>0</v>
      </c>
      <c r="BG17" s="27"/>
      <c r="BH17" s="27" t="e">
        <f t="shared" si="34"/>
        <v>#N/A</v>
      </c>
      <c r="BI17" s="27" t="e">
        <f t="shared" si="35"/>
        <v>#N/A</v>
      </c>
      <c r="BJ17" s="27" t="e">
        <f t="shared" si="36"/>
        <v>#N/A</v>
      </c>
      <c r="BK17" s="27"/>
      <c r="BL17" s="27"/>
      <c r="BM17" s="27" t="e">
        <f t="shared" si="37"/>
        <v>#N/A</v>
      </c>
      <c r="BN17" s="27" t="e">
        <f t="shared" si="38"/>
        <v>#N/A</v>
      </c>
      <c r="BO17" s="27" t="e">
        <f t="shared" si="39"/>
        <v>#N/A</v>
      </c>
      <c r="BP17" s="27"/>
      <c r="BQ17" s="27"/>
    </row>
    <row r="18" spans="1:69" s="2" customFormat="1" x14ac:dyDescent="0.25">
      <c r="A18" s="128"/>
      <c r="B18" s="166"/>
      <c r="C18" s="126"/>
      <c r="D18" s="57" t="e">
        <f>VLOOKUP(G18,[1]!ModTbl,2,0)</f>
        <v>#N/A</v>
      </c>
      <c r="E18" s="57" t="e">
        <f>VLOOKUP(G18,[1]!ModTbl,3,0)</f>
        <v>#N/A</v>
      </c>
      <c r="F18" s="57" t="e">
        <f>VLOOKUP(G18,[1]!ModTbl,4,0)</f>
        <v>#N/A</v>
      </c>
      <c r="G18" s="25"/>
      <c r="H18" s="128"/>
      <c r="I18" s="128"/>
      <c r="J18" s="58" t="e">
        <f>VLOOKUP(G18,[1]!ModTbl,8,0)</f>
        <v>#N/A</v>
      </c>
      <c r="K18" s="58" t="e">
        <f>VLOOKUP(G18,[1]!ModTbl,9,0)</f>
        <v>#N/A</v>
      </c>
      <c r="L18" s="58" t="e">
        <f>VLOOKUP(G18,[1]!ModTbl,10,0)</f>
        <v>#N/A</v>
      </c>
      <c r="M18" s="58">
        <v>0</v>
      </c>
      <c r="N18" s="126" t="e">
        <f t="shared" si="4"/>
        <v>#N/A</v>
      </c>
      <c r="O18" s="126" t="e">
        <f t="shared" si="5"/>
        <v>#N/A</v>
      </c>
      <c r="P18" s="126" t="e">
        <f t="shared" si="6"/>
        <v>#N/A</v>
      </c>
      <c r="Q18" s="126" t="e">
        <f t="shared" si="7"/>
        <v>#N/A</v>
      </c>
      <c r="R18" s="126" t="e">
        <f t="shared" si="8"/>
        <v>#N/A</v>
      </c>
      <c r="S18" s="126" t="e">
        <f t="shared" si="9"/>
        <v>#N/A</v>
      </c>
      <c r="T18" s="126" t="e">
        <f t="shared" si="10"/>
        <v>#N/A</v>
      </c>
      <c r="U18" s="94" t="e">
        <f t="shared" si="11"/>
        <v>#N/A</v>
      </c>
      <c r="V18" s="94" t="e">
        <f t="shared" si="12"/>
        <v>#N/A</v>
      </c>
      <c r="W18" s="94" t="e">
        <f t="shared" si="13"/>
        <v>#N/A</v>
      </c>
      <c r="X18" s="94" t="e">
        <f t="shared" si="14"/>
        <v>#N/A</v>
      </c>
      <c r="Y18" s="95">
        <f t="shared" si="15"/>
        <v>0</v>
      </c>
      <c r="Z18" s="126" t="e">
        <f t="shared" si="16"/>
        <v>#N/A</v>
      </c>
      <c r="AA18" s="126" t="e">
        <f t="shared" si="17"/>
        <v>#N/A</v>
      </c>
      <c r="AB18" s="126" t="e">
        <f t="shared" si="18"/>
        <v>#N/A</v>
      </c>
      <c r="AC18" s="126" t="e">
        <f t="shared" si="19"/>
        <v>#N/A</v>
      </c>
      <c r="AD18" s="126"/>
      <c r="AE18" s="126"/>
      <c r="AF18" s="126"/>
      <c r="AG18" s="126"/>
      <c r="AH18" s="126"/>
      <c r="AI18" s="126">
        <f t="shared" si="20"/>
        <v>0</v>
      </c>
      <c r="AJ18" s="126"/>
      <c r="AK18" s="94" t="e">
        <f t="shared" si="21"/>
        <v>#N/A</v>
      </c>
      <c r="AL18" s="94" t="e">
        <f t="shared" si="22"/>
        <v>#N/A</v>
      </c>
      <c r="AM18" s="94" t="e">
        <f t="shared" si="23"/>
        <v>#N/A</v>
      </c>
      <c r="AN18" s="94" t="e">
        <f t="shared" si="24"/>
        <v>#N/A</v>
      </c>
      <c r="AO18" s="95">
        <f t="shared" si="25"/>
        <v>0</v>
      </c>
      <c r="AP18" s="126" t="e">
        <f t="shared" si="26"/>
        <v>#N/A</v>
      </c>
      <c r="AQ18" s="126" t="e">
        <f t="shared" si="27"/>
        <v>#N/A</v>
      </c>
      <c r="AR18" s="126" t="e">
        <f t="shared" si="28"/>
        <v>#N/A</v>
      </c>
      <c r="AS18" s="126" t="e">
        <f t="shared" si="29"/>
        <v>#N/A</v>
      </c>
      <c r="AT18" s="126">
        <v>0</v>
      </c>
      <c r="AU18" s="126"/>
      <c r="AV18" s="126"/>
      <c r="AW18" s="126"/>
      <c r="AX18" s="126"/>
      <c r="AY18" s="126">
        <f t="shared" si="30"/>
        <v>0</v>
      </c>
      <c r="AZ18" s="127"/>
      <c r="BA18" s="127"/>
      <c r="BC18" s="27" t="e">
        <f t="shared" si="31"/>
        <v>#N/A</v>
      </c>
      <c r="BD18" s="27" t="e">
        <f t="shared" si="32"/>
        <v>#N/A</v>
      </c>
      <c r="BE18" s="27"/>
      <c r="BF18" s="27">
        <f t="shared" si="33"/>
        <v>0</v>
      </c>
      <c r="BG18" s="27"/>
      <c r="BH18" s="27" t="e">
        <f t="shared" si="34"/>
        <v>#N/A</v>
      </c>
      <c r="BI18" s="27" t="e">
        <f t="shared" si="35"/>
        <v>#N/A</v>
      </c>
      <c r="BJ18" s="27" t="e">
        <f t="shared" si="36"/>
        <v>#N/A</v>
      </c>
      <c r="BK18" s="27"/>
      <c r="BL18" s="27"/>
      <c r="BM18" s="27" t="e">
        <f t="shared" si="37"/>
        <v>#N/A</v>
      </c>
      <c r="BN18" s="27" t="e">
        <f t="shared" si="38"/>
        <v>#N/A</v>
      </c>
      <c r="BO18" s="27" t="e">
        <f t="shared" si="39"/>
        <v>#N/A</v>
      </c>
      <c r="BP18" s="27"/>
      <c r="BQ18" s="27"/>
    </row>
    <row r="19" spans="1:69" s="2" customFormat="1" x14ac:dyDescent="0.25">
      <c r="A19" s="128"/>
      <c r="B19" s="166"/>
      <c r="C19" s="126"/>
      <c r="D19" s="57" t="e">
        <f>VLOOKUP(G19,[1]!ModTbl,2,0)</f>
        <v>#N/A</v>
      </c>
      <c r="E19" s="57" t="e">
        <f>VLOOKUP(G19,[1]!ModTbl,3,0)</f>
        <v>#N/A</v>
      </c>
      <c r="F19" s="57" t="e">
        <f>VLOOKUP(G19,[1]!ModTbl,4,0)</f>
        <v>#N/A</v>
      </c>
      <c r="G19" s="25"/>
      <c r="H19" s="128"/>
      <c r="I19" s="128"/>
      <c r="J19" s="58" t="e">
        <f>VLOOKUP(G19,[1]!ModTbl,8,0)</f>
        <v>#N/A</v>
      </c>
      <c r="K19" s="58" t="e">
        <f>VLOOKUP(G19,[1]!ModTbl,9,0)</f>
        <v>#N/A</v>
      </c>
      <c r="L19" s="58" t="e">
        <f>VLOOKUP(G19,[1]!ModTbl,10,0)</f>
        <v>#N/A</v>
      </c>
      <c r="M19" s="58">
        <v>0</v>
      </c>
      <c r="N19" s="126" t="e">
        <f t="shared" si="4"/>
        <v>#N/A</v>
      </c>
      <c r="O19" s="126" t="e">
        <f t="shared" si="5"/>
        <v>#N/A</v>
      </c>
      <c r="P19" s="126" t="e">
        <f t="shared" si="6"/>
        <v>#N/A</v>
      </c>
      <c r="Q19" s="126" t="e">
        <f t="shared" si="7"/>
        <v>#N/A</v>
      </c>
      <c r="R19" s="126" t="e">
        <f t="shared" si="8"/>
        <v>#N/A</v>
      </c>
      <c r="S19" s="126" t="e">
        <f t="shared" si="9"/>
        <v>#N/A</v>
      </c>
      <c r="T19" s="126" t="e">
        <f t="shared" si="10"/>
        <v>#N/A</v>
      </c>
      <c r="U19" s="94" t="e">
        <f t="shared" si="11"/>
        <v>#N/A</v>
      </c>
      <c r="V19" s="94" t="e">
        <f t="shared" si="12"/>
        <v>#N/A</v>
      </c>
      <c r="W19" s="94" t="e">
        <f t="shared" si="13"/>
        <v>#N/A</v>
      </c>
      <c r="X19" s="94" t="e">
        <f t="shared" si="14"/>
        <v>#N/A</v>
      </c>
      <c r="Y19" s="95">
        <f t="shared" si="15"/>
        <v>0</v>
      </c>
      <c r="Z19" s="126" t="e">
        <f t="shared" si="16"/>
        <v>#N/A</v>
      </c>
      <c r="AA19" s="126" t="e">
        <f t="shared" si="17"/>
        <v>#N/A</v>
      </c>
      <c r="AB19" s="126" t="e">
        <f t="shared" si="18"/>
        <v>#N/A</v>
      </c>
      <c r="AC19" s="126" t="e">
        <f t="shared" si="19"/>
        <v>#N/A</v>
      </c>
      <c r="AD19" s="126"/>
      <c r="AE19" s="126"/>
      <c r="AF19" s="126"/>
      <c r="AG19" s="126"/>
      <c r="AH19" s="126"/>
      <c r="AI19" s="126">
        <f t="shared" si="20"/>
        <v>0</v>
      </c>
      <c r="AJ19" s="126"/>
      <c r="AK19" s="94" t="e">
        <f t="shared" si="21"/>
        <v>#N/A</v>
      </c>
      <c r="AL19" s="94" t="e">
        <f t="shared" si="22"/>
        <v>#N/A</v>
      </c>
      <c r="AM19" s="94" t="e">
        <f t="shared" si="23"/>
        <v>#N/A</v>
      </c>
      <c r="AN19" s="94" t="e">
        <f t="shared" si="24"/>
        <v>#N/A</v>
      </c>
      <c r="AO19" s="95">
        <f t="shared" si="25"/>
        <v>0</v>
      </c>
      <c r="AP19" s="126" t="e">
        <f t="shared" si="26"/>
        <v>#N/A</v>
      </c>
      <c r="AQ19" s="126" t="e">
        <f t="shared" si="27"/>
        <v>#N/A</v>
      </c>
      <c r="AR19" s="126" t="e">
        <f t="shared" si="28"/>
        <v>#N/A</v>
      </c>
      <c r="AS19" s="126" t="e">
        <f t="shared" si="29"/>
        <v>#N/A</v>
      </c>
      <c r="AT19" s="126">
        <v>0</v>
      </c>
      <c r="AU19" s="126"/>
      <c r="AV19" s="126"/>
      <c r="AW19" s="126"/>
      <c r="AX19" s="126"/>
      <c r="AY19" s="126">
        <f t="shared" si="30"/>
        <v>0</v>
      </c>
      <c r="AZ19" s="127"/>
      <c r="BA19" s="127"/>
      <c r="BC19" s="27" t="e">
        <f t="shared" si="31"/>
        <v>#N/A</v>
      </c>
      <c r="BD19" s="27" t="e">
        <f t="shared" si="32"/>
        <v>#N/A</v>
      </c>
      <c r="BE19" s="27"/>
      <c r="BF19" s="27">
        <f t="shared" si="33"/>
        <v>0</v>
      </c>
      <c r="BG19" s="27"/>
      <c r="BH19" s="27" t="e">
        <f t="shared" si="34"/>
        <v>#N/A</v>
      </c>
      <c r="BI19" s="27" t="e">
        <f t="shared" si="35"/>
        <v>#N/A</v>
      </c>
      <c r="BJ19" s="27" t="e">
        <f t="shared" si="36"/>
        <v>#N/A</v>
      </c>
      <c r="BK19" s="27"/>
      <c r="BL19" s="27"/>
      <c r="BM19" s="27" t="e">
        <f t="shared" si="37"/>
        <v>#N/A</v>
      </c>
      <c r="BN19" s="27" t="e">
        <f t="shared" si="38"/>
        <v>#N/A</v>
      </c>
      <c r="BO19" s="27" t="e">
        <f t="shared" si="39"/>
        <v>#N/A</v>
      </c>
      <c r="BP19" s="27"/>
      <c r="BQ19" s="27"/>
    </row>
    <row r="20" spans="1:69" s="2" customFormat="1" x14ac:dyDescent="0.25">
      <c r="A20" s="128"/>
      <c r="B20" s="166"/>
      <c r="C20" s="126"/>
      <c r="D20" s="57" t="e">
        <f>VLOOKUP(G20,[1]!ModTbl,2,0)</f>
        <v>#N/A</v>
      </c>
      <c r="E20" s="57" t="e">
        <f>VLOOKUP(G20,[1]!ModTbl,3,0)</f>
        <v>#N/A</v>
      </c>
      <c r="F20" s="57" t="e">
        <f>VLOOKUP(G20,[1]!ModTbl,4,0)</f>
        <v>#N/A</v>
      </c>
      <c r="G20" s="25"/>
      <c r="H20" s="128"/>
      <c r="I20" s="128"/>
      <c r="J20" s="58" t="e">
        <f>VLOOKUP(G20,[1]!ModTbl,8,0)</f>
        <v>#N/A</v>
      </c>
      <c r="K20" s="58" t="e">
        <f>VLOOKUP(G20,[1]!ModTbl,9,0)</f>
        <v>#N/A</v>
      </c>
      <c r="L20" s="58" t="e">
        <f>VLOOKUP(G20,[1]!ModTbl,10,0)</f>
        <v>#N/A</v>
      </c>
      <c r="M20" s="58">
        <v>0</v>
      </c>
      <c r="N20" s="126" t="e">
        <f t="shared" si="4"/>
        <v>#N/A</v>
      </c>
      <c r="O20" s="126" t="e">
        <f t="shared" si="5"/>
        <v>#N/A</v>
      </c>
      <c r="P20" s="126" t="e">
        <f t="shared" si="6"/>
        <v>#N/A</v>
      </c>
      <c r="Q20" s="126" t="e">
        <f t="shared" si="7"/>
        <v>#N/A</v>
      </c>
      <c r="R20" s="126" t="e">
        <f t="shared" si="8"/>
        <v>#N/A</v>
      </c>
      <c r="S20" s="126" t="e">
        <f t="shared" si="9"/>
        <v>#N/A</v>
      </c>
      <c r="T20" s="126" t="e">
        <f t="shared" si="10"/>
        <v>#N/A</v>
      </c>
      <c r="U20" s="94" t="e">
        <f t="shared" si="11"/>
        <v>#N/A</v>
      </c>
      <c r="V20" s="94" t="e">
        <f t="shared" si="12"/>
        <v>#N/A</v>
      </c>
      <c r="W20" s="94" t="e">
        <f t="shared" si="13"/>
        <v>#N/A</v>
      </c>
      <c r="X20" s="94" t="e">
        <f t="shared" si="14"/>
        <v>#N/A</v>
      </c>
      <c r="Y20" s="95">
        <f t="shared" si="15"/>
        <v>0</v>
      </c>
      <c r="Z20" s="126" t="e">
        <f t="shared" si="16"/>
        <v>#N/A</v>
      </c>
      <c r="AA20" s="126" t="e">
        <f t="shared" si="17"/>
        <v>#N/A</v>
      </c>
      <c r="AB20" s="126" t="e">
        <f t="shared" si="18"/>
        <v>#N/A</v>
      </c>
      <c r="AC20" s="126" t="e">
        <f t="shared" si="19"/>
        <v>#N/A</v>
      </c>
      <c r="AD20" s="126"/>
      <c r="AE20" s="126"/>
      <c r="AF20" s="126"/>
      <c r="AG20" s="126"/>
      <c r="AH20" s="126"/>
      <c r="AI20" s="126">
        <f t="shared" si="20"/>
        <v>0</v>
      </c>
      <c r="AJ20" s="126"/>
      <c r="AK20" s="94" t="e">
        <f t="shared" si="21"/>
        <v>#N/A</v>
      </c>
      <c r="AL20" s="94" t="e">
        <f t="shared" si="22"/>
        <v>#N/A</v>
      </c>
      <c r="AM20" s="94" t="e">
        <f t="shared" si="23"/>
        <v>#N/A</v>
      </c>
      <c r="AN20" s="94" t="e">
        <f t="shared" si="24"/>
        <v>#N/A</v>
      </c>
      <c r="AO20" s="95">
        <f t="shared" si="25"/>
        <v>0</v>
      </c>
      <c r="AP20" s="126" t="e">
        <f t="shared" si="26"/>
        <v>#N/A</v>
      </c>
      <c r="AQ20" s="126" t="e">
        <f t="shared" si="27"/>
        <v>#N/A</v>
      </c>
      <c r="AR20" s="126" t="e">
        <f t="shared" si="28"/>
        <v>#N/A</v>
      </c>
      <c r="AS20" s="126" t="e">
        <f t="shared" si="29"/>
        <v>#N/A</v>
      </c>
      <c r="AT20" s="126">
        <v>0</v>
      </c>
      <c r="AU20" s="126"/>
      <c r="AV20" s="126"/>
      <c r="AW20" s="126"/>
      <c r="AX20" s="126"/>
      <c r="AY20" s="126">
        <f t="shared" si="30"/>
        <v>0</v>
      </c>
      <c r="AZ20" s="127"/>
      <c r="BA20" s="127"/>
      <c r="BC20" s="27" t="e">
        <f t="shared" si="31"/>
        <v>#N/A</v>
      </c>
      <c r="BD20" s="27" t="e">
        <f t="shared" si="32"/>
        <v>#N/A</v>
      </c>
      <c r="BE20" s="27"/>
      <c r="BF20" s="27">
        <f t="shared" si="33"/>
        <v>0</v>
      </c>
      <c r="BG20" s="27"/>
      <c r="BH20" s="27" t="e">
        <f t="shared" si="34"/>
        <v>#N/A</v>
      </c>
      <c r="BI20" s="27" t="e">
        <f t="shared" si="35"/>
        <v>#N/A</v>
      </c>
      <c r="BJ20" s="27" t="e">
        <f t="shared" si="36"/>
        <v>#N/A</v>
      </c>
      <c r="BK20" s="27"/>
      <c r="BL20" s="27"/>
      <c r="BM20" s="27" t="e">
        <f t="shared" si="37"/>
        <v>#N/A</v>
      </c>
      <c r="BN20" s="27" t="e">
        <f t="shared" si="38"/>
        <v>#N/A</v>
      </c>
      <c r="BO20" s="27" t="e">
        <f t="shared" si="39"/>
        <v>#N/A</v>
      </c>
      <c r="BP20" s="27"/>
      <c r="BQ20" s="27"/>
    </row>
    <row r="21" spans="1:69" s="2" customFormat="1" x14ac:dyDescent="0.25">
      <c r="A21" s="128"/>
      <c r="B21" s="166"/>
      <c r="C21" s="126"/>
      <c r="D21" s="57" t="e">
        <f>VLOOKUP(G21,[1]!ModTbl,2,0)</f>
        <v>#N/A</v>
      </c>
      <c r="E21" s="57" t="e">
        <f>VLOOKUP(G21,[1]!ModTbl,3,0)</f>
        <v>#N/A</v>
      </c>
      <c r="F21" s="57" t="e">
        <f>VLOOKUP(G21,[1]!ModTbl,4,0)</f>
        <v>#N/A</v>
      </c>
      <c r="G21" s="25"/>
      <c r="H21" s="128"/>
      <c r="I21" s="128"/>
      <c r="J21" s="58" t="e">
        <f>VLOOKUP(G21,[1]!ModTbl,8,0)</f>
        <v>#N/A</v>
      </c>
      <c r="K21" s="58" t="e">
        <f>VLOOKUP(G21,[1]!ModTbl,9,0)</f>
        <v>#N/A</v>
      </c>
      <c r="L21" s="58" t="e">
        <f>VLOOKUP(G21,[1]!ModTbl,10,0)</f>
        <v>#N/A</v>
      </c>
      <c r="M21" s="58">
        <v>0</v>
      </c>
      <c r="N21" s="126" t="e">
        <f t="shared" si="4"/>
        <v>#N/A</v>
      </c>
      <c r="O21" s="126" t="e">
        <f t="shared" si="5"/>
        <v>#N/A</v>
      </c>
      <c r="P21" s="126" t="e">
        <f t="shared" si="6"/>
        <v>#N/A</v>
      </c>
      <c r="Q21" s="126" t="e">
        <f t="shared" si="7"/>
        <v>#N/A</v>
      </c>
      <c r="R21" s="126" t="e">
        <f t="shared" si="8"/>
        <v>#N/A</v>
      </c>
      <c r="S21" s="126" t="e">
        <f t="shared" si="9"/>
        <v>#N/A</v>
      </c>
      <c r="T21" s="126" t="e">
        <f t="shared" si="10"/>
        <v>#N/A</v>
      </c>
      <c r="U21" s="94" t="e">
        <f t="shared" si="11"/>
        <v>#N/A</v>
      </c>
      <c r="V21" s="94" t="e">
        <f t="shared" si="12"/>
        <v>#N/A</v>
      </c>
      <c r="W21" s="94" t="e">
        <f t="shared" si="13"/>
        <v>#N/A</v>
      </c>
      <c r="X21" s="94" t="e">
        <f t="shared" si="14"/>
        <v>#N/A</v>
      </c>
      <c r="Y21" s="95">
        <f t="shared" si="15"/>
        <v>0</v>
      </c>
      <c r="Z21" s="126" t="e">
        <f t="shared" si="16"/>
        <v>#N/A</v>
      </c>
      <c r="AA21" s="126" t="e">
        <f t="shared" si="17"/>
        <v>#N/A</v>
      </c>
      <c r="AB21" s="126" t="e">
        <f t="shared" si="18"/>
        <v>#N/A</v>
      </c>
      <c r="AC21" s="126" t="e">
        <f t="shared" si="19"/>
        <v>#N/A</v>
      </c>
      <c r="AD21" s="126"/>
      <c r="AE21" s="126"/>
      <c r="AF21" s="126"/>
      <c r="AG21" s="126"/>
      <c r="AH21" s="126"/>
      <c r="AI21" s="126">
        <f t="shared" si="20"/>
        <v>0</v>
      </c>
      <c r="AJ21" s="126"/>
      <c r="AK21" s="94" t="e">
        <f t="shared" si="21"/>
        <v>#N/A</v>
      </c>
      <c r="AL21" s="94" t="e">
        <f t="shared" si="22"/>
        <v>#N/A</v>
      </c>
      <c r="AM21" s="94" t="e">
        <f t="shared" si="23"/>
        <v>#N/A</v>
      </c>
      <c r="AN21" s="94" t="e">
        <f t="shared" si="24"/>
        <v>#N/A</v>
      </c>
      <c r="AO21" s="95">
        <f t="shared" si="25"/>
        <v>0</v>
      </c>
      <c r="AP21" s="126" t="e">
        <f t="shared" si="26"/>
        <v>#N/A</v>
      </c>
      <c r="AQ21" s="126" t="e">
        <f t="shared" si="27"/>
        <v>#N/A</v>
      </c>
      <c r="AR21" s="126" t="e">
        <f t="shared" si="28"/>
        <v>#N/A</v>
      </c>
      <c r="AS21" s="126" t="e">
        <f t="shared" si="29"/>
        <v>#N/A</v>
      </c>
      <c r="AT21" s="126">
        <v>0</v>
      </c>
      <c r="AU21" s="126"/>
      <c r="AV21" s="126"/>
      <c r="AW21" s="126"/>
      <c r="AX21" s="126"/>
      <c r="AY21" s="126">
        <f t="shared" si="30"/>
        <v>0</v>
      </c>
      <c r="AZ21" s="127"/>
      <c r="BA21" s="127"/>
      <c r="BC21" s="27" t="e">
        <f t="shared" si="31"/>
        <v>#N/A</v>
      </c>
      <c r="BD21" s="27" t="e">
        <f t="shared" si="32"/>
        <v>#N/A</v>
      </c>
      <c r="BE21" s="27"/>
      <c r="BF21" s="27">
        <f t="shared" si="33"/>
        <v>0</v>
      </c>
      <c r="BG21" s="27"/>
      <c r="BH21" s="27" t="e">
        <f t="shared" si="34"/>
        <v>#N/A</v>
      </c>
      <c r="BI21" s="27" t="e">
        <f t="shared" si="35"/>
        <v>#N/A</v>
      </c>
      <c r="BJ21" s="27" t="e">
        <f t="shared" si="36"/>
        <v>#N/A</v>
      </c>
      <c r="BK21" s="27"/>
      <c r="BL21" s="27"/>
      <c r="BM21" s="27" t="e">
        <f t="shared" si="37"/>
        <v>#N/A</v>
      </c>
      <c r="BN21" s="27" t="e">
        <f t="shared" si="38"/>
        <v>#N/A</v>
      </c>
      <c r="BO21" s="27" t="e">
        <f t="shared" si="39"/>
        <v>#N/A</v>
      </c>
      <c r="BP21" s="27"/>
      <c r="BQ21" s="27"/>
    </row>
    <row r="22" spans="1:69" s="2" customFormat="1" x14ac:dyDescent="0.25">
      <c r="A22" s="128"/>
      <c r="B22" s="166"/>
      <c r="C22" s="126"/>
      <c r="D22" s="57" t="e">
        <f>VLOOKUP(G22,[1]!ModTbl,2,0)</f>
        <v>#N/A</v>
      </c>
      <c r="E22" s="57" t="e">
        <f>VLOOKUP(G22,[1]!ModTbl,3,0)</f>
        <v>#N/A</v>
      </c>
      <c r="F22" s="57" t="e">
        <f>VLOOKUP(G22,[1]!ModTbl,4,0)</f>
        <v>#N/A</v>
      </c>
      <c r="G22" s="25"/>
      <c r="H22" s="128"/>
      <c r="I22" s="128"/>
      <c r="J22" s="58" t="e">
        <f>VLOOKUP(G22,[1]!ModTbl,8,0)</f>
        <v>#N/A</v>
      </c>
      <c r="K22" s="58" t="e">
        <f>VLOOKUP(G22,[1]!ModTbl,9,0)</f>
        <v>#N/A</v>
      </c>
      <c r="L22" s="58" t="e">
        <f>VLOOKUP(G22,[1]!ModTbl,10,0)</f>
        <v>#N/A</v>
      </c>
      <c r="M22" s="58">
        <v>0</v>
      </c>
      <c r="N22" s="126" t="e">
        <f t="shared" si="4"/>
        <v>#N/A</v>
      </c>
      <c r="O22" s="126" t="e">
        <f t="shared" si="5"/>
        <v>#N/A</v>
      </c>
      <c r="P22" s="126" t="e">
        <f t="shared" si="6"/>
        <v>#N/A</v>
      </c>
      <c r="Q22" s="126" t="e">
        <f t="shared" si="7"/>
        <v>#N/A</v>
      </c>
      <c r="R22" s="126" t="e">
        <f t="shared" si="8"/>
        <v>#N/A</v>
      </c>
      <c r="S22" s="126" t="e">
        <f t="shared" si="9"/>
        <v>#N/A</v>
      </c>
      <c r="T22" s="126" t="e">
        <f t="shared" si="10"/>
        <v>#N/A</v>
      </c>
      <c r="U22" s="94" t="e">
        <f t="shared" si="11"/>
        <v>#N/A</v>
      </c>
      <c r="V22" s="94" t="e">
        <f t="shared" si="12"/>
        <v>#N/A</v>
      </c>
      <c r="W22" s="94" t="e">
        <f t="shared" si="13"/>
        <v>#N/A</v>
      </c>
      <c r="X22" s="94" t="e">
        <f t="shared" si="14"/>
        <v>#N/A</v>
      </c>
      <c r="Y22" s="95">
        <f t="shared" si="15"/>
        <v>0</v>
      </c>
      <c r="Z22" s="126" t="e">
        <f t="shared" si="16"/>
        <v>#N/A</v>
      </c>
      <c r="AA22" s="126" t="e">
        <f t="shared" si="17"/>
        <v>#N/A</v>
      </c>
      <c r="AB22" s="126" t="e">
        <f t="shared" si="18"/>
        <v>#N/A</v>
      </c>
      <c r="AC22" s="126" t="e">
        <f t="shared" si="19"/>
        <v>#N/A</v>
      </c>
      <c r="AD22" s="126"/>
      <c r="AE22" s="126"/>
      <c r="AF22" s="126"/>
      <c r="AG22" s="126"/>
      <c r="AH22" s="126"/>
      <c r="AI22" s="126">
        <f t="shared" si="20"/>
        <v>0</v>
      </c>
      <c r="AJ22" s="126"/>
      <c r="AK22" s="94" t="e">
        <f t="shared" si="21"/>
        <v>#N/A</v>
      </c>
      <c r="AL22" s="94" t="e">
        <f t="shared" si="22"/>
        <v>#N/A</v>
      </c>
      <c r="AM22" s="94" t="e">
        <f t="shared" si="23"/>
        <v>#N/A</v>
      </c>
      <c r="AN22" s="94" t="e">
        <f t="shared" si="24"/>
        <v>#N/A</v>
      </c>
      <c r="AO22" s="95">
        <f t="shared" si="25"/>
        <v>0</v>
      </c>
      <c r="AP22" s="126" t="e">
        <f t="shared" si="26"/>
        <v>#N/A</v>
      </c>
      <c r="AQ22" s="126" t="e">
        <f t="shared" si="27"/>
        <v>#N/A</v>
      </c>
      <c r="AR22" s="126" t="e">
        <f t="shared" si="28"/>
        <v>#N/A</v>
      </c>
      <c r="AS22" s="126" t="e">
        <f t="shared" si="29"/>
        <v>#N/A</v>
      </c>
      <c r="AT22" s="126">
        <v>0</v>
      </c>
      <c r="AU22" s="126"/>
      <c r="AV22" s="126"/>
      <c r="AW22" s="126"/>
      <c r="AX22" s="126"/>
      <c r="AY22" s="126">
        <f t="shared" si="30"/>
        <v>0</v>
      </c>
      <c r="AZ22" s="127"/>
      <c r="BA22" s="127"/>
      <c r="BC22" s="27" t="e">
        <f t="shared" si="31"/>
        <v>#N/A</v>
      </c>
      <c r="BD22" s="27" t="e">
        <f t="shared" si="32"/>
        <v>#N/A</v>
      </c>
      <c r="BE22" s="27"/>
      <c r="BF22" s="27">
        <f t="shared" si="33"/>
        <v>0</v>
      </c>
      <c r="BG22" s="27"/>
      <c r="BH22" s="27" t="e">
        <f t="shared" si="34"/>
        <v>#N/A</v>
      </c>
      <c r="BI22" s="27" t="e">
        <f t="shared" si="35"/>
        <v>#N/A</v>
      </c>
      <c r="BJ22" s="27" t="e">
        <f t="shared" si="36"/>
        <v>#N/A</v>
      </c>
      <c r="BK22" s="27"/>
      <c r="BL22" s="27"/>
      <c r="BM22" s="27" t="e">
        <f t="shared" si="37"/>
        <v>#N/A</v>
      </c>
      <c r="BN22" s="27" t="e">
        <f t="shared" si="38"/>
        <v>#N/A</v>
      </c>
      <c r="BO22" s="27" t="e">
        <f t="shared" si="39"/>
        <v>#N/A</v>
      </c>
      <c r="BP22" s="27"/>
      <c r="BQ22" s="27"/>
    </row>
    <row r="23" spans="1:69" s="2" customFormat="1" x14ac:dyDescent="0.25">
      <c r="A23" s="128"/>
      <c r="B23" s="166"/>
      <c r="C23" s="126"/>
      <c r="D23" s="57" t="e">
        <f>VLOOKUP(G23,[1]!ModTbl,2,0)</f>
        <v>#N/A</v>
      </c>
      <c r="E23" s="57" t="e">
        <f>VLOOKUP(G23,[1]!ModTbl,3,0)</f>
        <v>#N/A</v>
      </c>
      <c r="F23" s="57" t="e">
        <f>VLOOKUP(G23,[1]!ModTbl,4,0)</f>
        <v>#N/A</v>
      </c>
      <c r="G23" s="25"/>
      <c r="H23" s="128"/>
      <c r="I23" s="128"/>
      <c r="J23" s="58" t="e">
        <f>VLOOKUP(G23,[1]!ModTbl,8,0)</f>
        <v>#N/A</v>
      </c>
      <c r="K23" s="58" t="e">
        <f>VLOOKUP(G23,[1]!ModTbl,9,0)</f>
        <v>#N/A</v>
      </c>
      <c r="L23" s="58" t="e">
        <f>VLOOKUP(G23,[1]!ModTbl,10,0)</f>
        <v>#N/A</v>
      </c>
      <c r="M23" s="58">
        <v>0</v>
      </c>
      <c r="N23" s="126" t="e">
        <f t="shared" si="4"/>
        <v>#N/A</v>
      </c>
      <c r="O23" s="126" t="e">
        <f t="shared" si="5"/>
        <v>#N/A</v>
      </c>
      <c r="P23" s="126" t="e">
        <f t="shared" si="6"/>
        <v>#N/A</v>
      </c>
      <c r="Q23" s="126" t="e">
        <f t="shared" si="7"/>
        <v>#N/A</v>
      </c>
      <c r="R23" s="126" t="e">
        <f t="shared" si="8"/>
        <v>#N/A</v>
      </c>
      <c r="S23" s="126" t="e">
        <f t="shared" si="9"/>
        <v>#N/A</v>
      </c>
      <c r="T23" s="126" t="e">
        <f t="shared" si="10"/>
        <v>#N/A</v>
      </c>
      <c r="U23" s="94" t="e">
        <f t="shared" si="11"/>
        <v>#N/A</v>
      </c>
      <c r="V23" s="94" t="e">
        <f t="shared" si="12"/>
        <v>#N/A</v>
      </c>
      <c r="W23" s="94" t="e">
        <f t="shared" si="13"/>
        <v>#N/A</v>
      </c>
      <c r="X23" s="94" t="e">
        <f t="shared" si="14"/>
        <v>#N/A</v>
      </c>
      <c r="Y23" s="95">
        <f t="shared" si="15"/>
        <v>0</v>
      </c>
      <c r="Z23" s="126" t="e">
        <f t="shared" si="16"/>
        <v>#N/A</v>
      </c>
      <c r="AA23" s="126" t="e">
        <f t="shared" si="17"/>
        <v>#N/A</v>
      </c>
      <c r="AB23" s="126" t="e">
        <f t="shared" si="18"/>
        <v>#N/A</v>
      </c>
      <c r="AC23" s="126" t="e">
        <f t="shared" si="19"/>
        <v>#N/A</v>
      </c>
      <c r="AD23" s="126"/>
      <c r="AE23" s="126"/>
      <c r="AF23" s="126"/>
      <c r="AG23" s="126"/>
      <c r="AH23" s="126"/>
      <c r="AI23" s="126">
        <f t="shared" si="20"/>
        <v>0</v>
      </c>
      <c r="AJ23" s="126"/>
      <c r="AK23" s="94" t="e">
        <f t="shared" si="21"/>
        <v>#N/A</v>
      </c>
      <c r="AL23" s="94" t="e">
        <f t="shared" si="22"/>
        <v>#N/A</v>
      </c>
      <c r="AM23" s="94" t="e">
        <f t="shared" si="23"/>
        <v>#N/A</v>
      </c>
      <c r="AN23" s="94" t="e">
        <f t="shared" si="24"/>
        <v>#N/A</v>
      </c>
      <c r="AO23" s="95">
        <f t="shared" si="25"/>
        <v>0</v>
      </c>
      <c r="AP23" s="126" t="e">
        <f t="shared" si="26"/>
        <v>#N/A</v>
      </c>
      <c r="AQ23" s="126" t="e">
        <f t="shared" si="27"/>
        <v>#N/A</v>
      </c>
      <c r="AR23" s="126" t="e">
        <f t="shared" si="28"/>
        <v>#N/A</v>
      </c>
      <c r="AS23" s="126" t="e">
        <f t="shared" si="29"/>
        <v>#N/A</v>
      </c>
      <c r="AT23" s="126">
        <v>0</v>
      </c>
      <c r="AU23" s="126"/>
      <c r="AV23" s="126"/>
      <c r="AW23" s="126"/>
      <c r="AX23" s="126"/>
      <c r="AY23" s="126">
        <f t="shared" si="30"/>
        <v>0</v>
      </c>
      <c r="AZ23" s="127"/>
      <c r="BA23" s="127"/>
      <c r="BC23" s="27" t="e">
        <f t="shared" si="31"/>
        <v>#N/A</v>
      </c>
      <c r="BD23" s="27" t="e">
        <f t="shared" si="32"/>
        <v>#N/A</v>
      </c>
      <c r="BE23" s="27"/>
      <c r="BF23" s="27">
        <f t="shared" si="33"/>
        <v>0</v>
      </c>
      <c r="BG23" s="27"/>
      <c r="BH23" s="27" t="e">
        <f t="shared" si="34"/>
        <v>#N/A</v>
      </c>
      <c r="BI23" s="27" t="e">
        <f t="shared" si="35"/>
        <v>#N/A</v>
      </c>
      <c r="BJ23" s="27" t="e">
        <f t="shared" si="36"/>
        <v>#N/A</v>
      </c>
      <c r="BK23" s="27"/>
      <c r="BL23" s="27"/>
      <c r="BM23" s="27" t="e">
        <f t="shared" si="37"/>
        <v>#N/A</v>
      </c>
      <c r="BN23" s="27" t="e">
        <f t="shared" si="38"/>
        <v>#N/A</v>
      </c>
      <c r="BO23" s="27" t="e">
        <f t="shared" si="39"/>
        <v>#N/A</v>
      </c>
      <c r="BP23" s="27"/>
      <c r="BQ23" s="27"/>
    </row>
    <row r="24" spans="1:69" s="2" customFormat="1" x14ac:dyDescent="0.25">
      <c r="A24" s="128"/>
      <c r="B24" s="166"/>
      <c r="C24" s="126"/>
      <c r="D24" s="57" t="e">
        <f>VLOOKUP(G24,[1]!ModTbl,2,0)</f>
        <v>#N/A</v>
      </c>
      <c r="E24" s="57" t="e">
        <f>VLOOKUP(G24,[1]!ModTbl,3,0)</f>
        <v>#N/A</v>
      </c>
      <c r="F24" s="57" t="e">
        <f>VLOOKUP(G24,[1]!ModTbl,4,0)</f>
        <v>#N/A</v>
      </c>
      <c r="G24" s="25"/>
      <c r="H24" s="128"/>
      <c r="I24" s="128"/>
      <c r="J24" s="58" t="e">
        <f>VLOOKUP(G24,[1]!ModTbl,8,0)</f>
        <v>#N/A</v>
      </c>
      <c r="K24" s="58" t="e">
        <f>VLOOKUP(G24,[1]!ModTbl,9,0)</f>
        <v>#N/A</v>
      </c>
      <c r="L24" s="58" t="e">
        <f>VLOOKUP(G24,[1]!ModTbl,10,0)</f>
        <v>#N/A</v>
      </c>
      <c r="M24" s="58">
        <v>0</v>
      </c>
      <c r="N24" s="126" t="e">
        <f t="shared" si="4"/>
        <v>#N/A</v>
      </c>
      <c r="O24" s="126" t="e">
        <f t="shared" si="5"/>
        <v>#N/A</v>
      </c>
      <c r="P24" s="126" t="e">
        <f t="shared" si="6"/>
        <v>#N/A</v>
      </c>
      <c r="Q24" s="126" t="e">
        <f t="shared" si="7"/>
        <v>#N/A</v>
      </c>
      <c r="R24" s="126" t="e">
        <f t="shared" si="8"/>
        <v>#N/A</v>
      </c>
      <c r="S24" s="126" t="e">
        <f t="shared" si="9"/>
        <v>#N/A</v>
      </c>
      <c r="T24" s="126" t="e">
        <f t="shared" si="10"/>
        <v>#N/A</v>
      </c>
      <c r="U24" s="94" t="e">
        <f t="shared" si="11"/>
        <v>#N/A</v>
      </c>
      <c r="V24" s="94" t="e">
        <f t="shared" si="12"/>
        <v>#N/A</v>
      </c>
      <c r="W24" s="94" t="e">
        <f t="shared" si="13"/>
        <v>#N/A</v>
      </c>
      <c r="X24" s="94" t="e">
        <f t="shared" si="14"/>
        <v>#N/A</v>
      </c>
      <c r="Y24" s="95">
        <f t="shared" si="15"/>
        <v>0</v>
      </c>
      <c r="Z24" s="126" t="e">
        <f t="shared" si="16"/>
        <v>#N/A</v>
      </c>
      <c r="AA24" s="126" t="e">
        <f t="shared" si="17"/>
        <v>#N/A</v>
      </c>
      <c r="AB24" s="126" t="e">
        <f t="shared" si="18"/>
        <v>#N/A</v>
      </c>
      <c r="AC24" s="126" t="e">
        <f t="shared" si="19"/>
        <v>#N/A</v>
      </c>
      <c r="AD24" s="126"/>
      <c r="AE24" s="126"/>
      <c r="AF24" s="126"/>
      <c r="AG24" s="126"/>
      <c r="AH24" s="126"/>
      <c r="AI24" s="126">
        <f t="shared" si="20"/>
        <v>0</v>
      </c>
      <c r="AJ24" s="126"/>
      <c r="AK24" s="94" t="e">
        <f t="shared" si="21"/>
        <v>#N/A</v>
      </c>
      <c r="AL24" s="94" t="e">
        <f t="shared" si="22"/>
        <v>#N/A</v>
      </c>
      <c r="AM24" s="94" t="e">
        <f t="shared" si="23"/>
        <v>#N/A</v>
      </c>
      <c r="AN24" s="94" t="e">
        <f t="shared" si="24"/>
        <v>#N/A</v>
      </c>
      <c r="AO24" s="95">
        <f t="shared" si="25"/>
        <v>0</v>
      </c>
      <c r="AP24" s="126" t="e">
        <f t="shared" si="26"/>
        <v>#N/A</v>
      </c>
      <c r="AQ24" s="126" t="e">
        <f t="shared" si="27"/>
        <v>#N/A</v>
      </c>
      <c r="AR24" s="126" t="e">
        <f t="shared" si="28"/>
        <v>#N/A</v>
      </c>
      <c r="AS24" s="126" t="e">
        <f t="shared" si="29"/>
        <v>#N/A</v>
      </c>
      <c r="AT24" s="126">
        <v>0</v>
      </c>
      <c r="AU24" s="126"/>
      <c r="AV24" s="126"/>
      <c r="AW24" s="126"/>
      <c r="AX24" s="126"/>
      <c r="AY24" s="126">
        <f t="shared" si="30"/>
        <v>0</v>
      </c>
      <c r="AZ24" s="127"/>
      <c r="BA24" s="127"/>
      <c r="BC24" s="27" t="e">
        <f t="shared" si="31"/>
        <v>#N/A</v>
      </c>
      <c r="BD24" s="27" t="e">
        <f t="shared" si="32"/>
        <v>#N/A</v>
      </c>
      <c r="BE24" s="27"/>
      <c r="BF24" s="27">
        <f t="shared" si="33"/>
        <v>0</v>
      </c>
      <c r="BG24" s="27"/>
      <c r="BH24" s="27" t="e">
        <f t="shared" si="34"/>
        <v>#N/A</v>
      </c>
      <c r="BI24" s="27" t="e">
        <f t="shared" si="35"/>
        <v>#N/A</v>
      </c>
      <c r="BJ24" s="27" t="e">
        <f t="shared" si="36"/>
        <v>#N/A</v>
      </c>
      <c r="BK24" s="27"/>
      <c r="BL24" s="27"/>
      <c r="BM24" s="27" t="e">
        <f t="shared" si="37"/>
        <v>#N/A</v>
      </c>
      <c r="BN24" s="27" t="e">
        <f t="shared" si="38"/>
        <v>#N/A</v>
      </c>
      <c r="BO24" s="27" t="e">
        <f t="shared" si="39"/>
        <v>#N/A</v>
      </c>
      <c r="BP24" s="27"/>
      <c r="BQ24" s="27"/>
    </row>
    <row r="25" spans="1:69" s="134" customFormat="1" x14ac:dyDescent="0.25">
      <c r="A25" s="128"/>
      <c r="B25" s="166"/>
      <c r="C25" s="126"/>
      <c r="D25" s="57" t="e">
        <f>VLOOKUP(G25,[1]!ModTbl,2,0)</f>
        <v>#N/A</v>
      </c>
      <c r="E25" s="57" t="e">
        <f>VLOOKUP(G25,[1]!ModTbl,3,0)</f>
        <v>#N/A</v>
      </c>
      <c r="F25" s="57" t="e">
        <f>VLOOKUP(G25,[1]!ModTbl,4,0)</f>
        <v>#N/A</v>
      </c>
      <c r="G25" s="25"/>
      <c r="H25" s="128"/>
      <c r="I25" s="128"/>
      <c r="J25" s="58" t="e">
        <f>VLOOKUP(G25,[1]!ModTbl,8,0)</f>
        <v>#N/A</v>
      </c>
      <c r="K25" s="58" t="e">
        <f>VLOOKUP(G25,[1]!ModTbl,9,0)</f>
        <v>#N/A</v>
      </c>
      <c r="L25" s="58" t="e">
        <f>VLOOKUP(G25,[1]!ModTbl,10,0)</f>
        <v>#N/A</v>
      </c>
      <c r="M25" s="58">
        <v>0</v>
      </c>
      <c r="N25" s="126" t="e">
        <f t="shared" si="4"/>
        <v>#N/A</v>
      </c>
      <c r="O25" s="126" t="e">
        <f t="shared" si="5"/>
        <v>#N/A</v>
      </c>
      <c r="P25" s="126" t="e">
        <f t="shared" si="6"/>
        <v>#N/A</v>
      </c>
      <c r="Q25" s="126" t="e">
        <f t="shared" si="7"/>
        <v>#N/A</v>
      </c>
      <c r="R25" s="126" t="e">
        <f t="shared" si="8"/>
        <v>#N/A</v>
      </c>
      <c r="S25" s="126" t="e">
        <f t="shared" si="9"/>
        <v>#N/A</v>
      </c>
      <c r="T25" s="126" t="e">
        <f t="shared" si="10"/>
        <v>#N/A</v>
      </c>
      <c r="U25" s="94" t="e">
        <f t="shared" si="11"/>
        <v>#N/A</v>
      </c>
      <c r="V25" s="94" t="e">
        <f t="shared" si="12"/>
        <v>#N/A</v>
      </c>
      <c r="W25" s="94" t="e">
        <f t="shared" si="13"/>
        <v>#N/A</v>
      </c>
      <c r="X25" s="94" t="e">
        <f t="shared" si="14"/>
        <v>#N/A</v>
      </c>
      <c r="Y25" s="95">
        <f t="shared" si="15"/>
        <v>0</v>
      </c>
      <c r="Z25" s="126" t="e">
        <f t="shared" si="16"/>
        <v>#N/A</v>
      </c>
      <c r="AA25" s="126" t="e">
        <f t="shared" si="17"/>
        <v>#N/A</v>
      </c>
      <c r="AB25" s="126" t="e">
        <f t="shared" si="18"/>
        <v>#N/A</v>
      </c>
      <c r="AC25" s="126" t="e">
        <f t="shared" si="19"/>
        <v>#N/A</v>
      </c>
      <c r="AD25" s="126"/>
      <c r="AE25" s="126"/>
      <c r="AF25" s="126"/>
      <c r="AG25" s="126"/>
      <c r="AH25" s="126"/>
      <c r="AI25" s="126">
        <f t="shared" si="20"/>
        <v>0</v>
      </c>
      <c r="AJ25" s="126"/>
      <c r="AK25" s="94" t="e">
        <f t="shared" si="21"/>
        <v>#N/A</v>
      </c>
      <c r="AL25" s="94" t="e">
        <f t="shared" si="22"/>
        <v>#N/A</v>
      </c>
      <c r="AM25" s="94" t="e">
        <f t="shared" si="23"/>
        <v>#N/A</v>
      </c>
      <c r="AN25" s="94" t="e">
        <f t="shared" si="24"/>
        <v>#N/A</v>
      </c>
      <c r="AO25" s="95">
        <f t="shared" si="25"/>
        <v>0</v>
      </c>
      <c r="AP25" s="126" t="e">
        <f t="shared" si="26"/>
        <v>#N/A</v>
      </c>
      <c r="AQ25" s="126" t="e">
        <f t="shared" si="27"/>
        <v>#N/A</v>
      </c>
      <c r="AR25" s="126" t="e">
        <f t="shared" si="28"/>
        <v>#N/A</v>
      </c>
      <c r="AS25" s="126" t="e">
        <f t="shared" si="29"/>
        <v>#N/A</v>
      </c>
      <c r="AT25" s="126">
        <v>0</v>
      </c>
      <c r="AU25" s="126"/>
      <c r="AV25" s="126"/>
      <c r="AW25" s="126"/>
      <c r="AX25" s="126"/>
      <c r="AY25" s="126">
        <f t="shared" si="30"/>
        <v>0</v>
      </c>
      <c r="AZ25" s="127"/>
      <c r="BA25" s="127"/>
      <c r="BB25" s="2"/>
      <c r="BC25" s="27" t="e">
        <f t="shared" si="31"/>
        <v>#N/A</v>
      </c>
      <c r="BD25" s="27" t="e">
        <f t="shared" si="32"/>
        <v>#N/A</v>
      </c>
      <c r="BE25" s="27"/>
      <c r="BF25" s="27">
        <f t="shared" si="33"/>
        <v>0</v>
      </c>
      <c r="BG25" s="27"/>
      <c r="BH25" s="27" t="e">
        <f t="shared" si="34"/>
        <v>#N/A</v>
      </c>
      <c r="BI25" s="27" t="e">
        <f t="shared" si="35"/>
        <v>#N/A</v>
      </c>
      <c r="BJ25" s="27" t="e">
        <f t="shared" si="36"/>
        <v>#N/A</v>
      </c>
      <c r="BK25" s="27"/>
      <c r="BL25" s="27"/>
      <c r="BM25" s="27" t="e">
        <f t="shared" si="37"/>
        <v>#N/A</v>
      </c>
      <c r="BN25" s="27" t="e">
        <f t="shared" si="38"/>
        <v>#N/A</v>
      </c>
      <c r="BO25" s="27" t="e">
        <f t="shared" si="39"/>
        <v>#N/A</v>
      </c>
      <c r="BP25" s="27"/>
      <c r="BQ25" s="27"/>
    </row>
    <row r="26" spans="1:69" s="134" customFormat="1" x14ac:dyDescent="0.25">
      <c r="A26" s="128"/>
      <c r="B26" s="166"/>
      <c r="C26" s="126"/>
      <c r="D26" s="57" t="e">
        <f>VLOOKUP(G26,[1]!ModTbl,2,0)</f>
        <v>#N/A</v>
      </c>
      <c r="E26" s="57" t="e">
        <f>VLOOKUP(G26,[1]!ModTbl,3,0)</f>
        <v>#N/A</v>
      </c>
      <c r="F26" s="57" t="e">
        <f>VLOOKUP(G26,[1]!ModTbl,4,0)</f>
        <v>#N/A</v>
      </c>
      <c r="G26" s="25"/>
      <c r="H26" s="128"/>
      <c r="I26" s="128"/>
      <c r="J26" s="58" t="e">
        <f>VLOOKUP(G26,[1]!ModTbl,8,0)</f>
        <v>#N/A</v>
      </c>
      <c r="K26" s="58" t="e">
        <f>VLOOKUP(G26,[1]!ModTbl,9,0)</f>
        <v>#N/A</v>
      </c>
      <c r="L26" s="58" t="e">
        <f>VLOOKUP(G26,[1]!ModTbl,10,0)</f>
        <v>#N/A</v>
      </c>
      <c r="M26" s="58">
        <v>0</v>
      </c>
      <c r="N26" s="126" t="e">
        <f t="shared" si="4"/>
        <v>#N/A</v>
      </c>
      <c r="O26" s="126" t="e">
        <f t="shared" si="5"/>
        <v>#N/A</v>
      </c>
      <c r="P26" s="126" t="e">
        <f t="shared" si="6"/>
        <v>#N/A</v>
      </c>
      <c r="Q26" s="126" t="e">
        <f t="shared" si="7"/>
        <v>#N/A</v>
      </c>
      <c r="R26" s="126" t="e">
        <f t="shared" si="8"/>
        <v>#N/A</v>
      </c>
      <c r="S26" s="126" t="e">
        <f t="shared" si="9"/>
        <v>#N/A</v>
      </c>
      <c r="T26" s="126" t="e">
        <f t="shared" si="10"/>
        <v>#N/A</v>
      </c>
      <c r="U26" s="94" t="e">
        <f t="shared" si="11"/>
        <v>#N/A</v>
      </c>
      <c r="V26" s="94" t="e">
        <f t="shared" si="12"/>
        <v>#N/A</v>
      </c>
      <c r="W26" s="94" t="e">
        <f t="shared" si="13"/>
        <v>#N/A</v>
      </c>
      <c r="X26" s="94" t="e">
        <f t="shared" si="14"/>
        <v>#N/A</v>
      </c>
      <c r="Y26" s="95">
        <f t="shared" si="15"/>
        <v>0</v>
      </c>
      <c r="Z26" s="126" t="e">
        <f t="shared" si="16"/>
        <v>#N/A</v>
      </c>
      <c r="AA26" s="126" t="e">
        <f t="shared" si="17"/>
        <v>#N/A</v>
      </c>
      <c r="AB26" s="126" t="e">
        <f t="shared" si="18"/>
        <v>#N/A</v>
      </c>
      <c r="AC26" s="126" t="e">
        <f t="shared" si="19"/>
        <v>#N/A</v>
      </c>
      <c r="AD26" s="126"/>
      <c r="AE26" s="126"/>
      <c r="AF26" s="126"/>
      <c r="AG26" s="126"/>
      <c r="AH26" s="126"/>
      <c r="AI26" s="126">
        <f t="shared" si="20"/>
        <v>0</v>
      </c>
      <c r="AJ26" s="126"/>
      <c r="AK26" s="94" t="e">
        <f t="shared" si="21"/>
        <v>#N/A</v>
      </c>
      <c r="AL26" s="94" t="e">
        <f t="shared" si="22"/>
        <v>#N/A</v>
      </c>
      <c r="AM26" s="94" t="e">
        <f t="shared" si="23"/>
        <v>#N/A</v>
      </c>
      <c r="AN26" s="94" t="e">
        <f t="shared" si="24"/>
        <v>#N/A</v>
      </c>
      <c r="AO26" s="95">
        <f t="shared" si="25"/>
        <v>0</v>
      </c>
      <c r="AP26" s="126" t="e">
        <f t="shared" si="26"/>
        <v>#N/A</v>
      </c>
      <c r="AQ26" s="126" t="e">
        <f t="shared" si="27"/>
        <v>#N/A</v>
      </c>
      <c r="AR26" s="126" t="e">
        <f t="shared" si="28"/>
        <v>#N/A</v>
      </c>
      <c r="AS26" s="126" t="e">
        <f t="shared" si="29"/>
        <v>#N/A</v>
      </c>
      <c r="AT26" s="126">
        <v>0</v>
      </c>
      <c r="AU26" s="126"/>
      <c r="AV26" s="126"/>
      <c r="AW26" s="126"/>
      <c r="AX26" s="126"/>
      <c r="AY26" s="126">
        <f t="shared" si="30"/>
        <v>0</v>
      </c>
      <c r="AZ26" s="127"/>
      <c r="BA26" s="127"/>
      <c r="BB26" s="2"/>
      <c r="BC26" s="27" t="e">
        <f t="shared" si="31"/>
        <v>#N/A</v>
      </c>
      <c r="BD26" s="27" t="e">
        <f t="shared" si="32"/>
        <v>#N/A</v>
      </c>
      <c r="BE26" s="27"/>
      <c r="BF26" s="27">
        <f t="shared" si="33"/>
        <v>0</v>
      </c>
      <c r="BG26" s="27"/>
      <c r="BH26" s="27" t="e">
        <f t="shared" si="34"/>
        <v>#N/A</v>
      </c>
      <c r="BI26" s="27" t="e">
        <f t="shared" si="35"/>
        <v>#N/A</v>
      </c>
      <c r="BJ26" s="27" t="e">
        <f t="shared" si="36"/>
        <v>#N/A</v>
      </c>
      <c r="BK26" s="27"/>
      <c r="BL26" s="27"/>
      <c r="BM26" s="27" t="e">
        <f t="shared" si="37"/>
        <v>#N/A</v>
      </c>
      <c r="BN26" s="27" t="e">
        <f t="shared" si="38"/>
        <v>#N/A</v>
      </c>
      <c r="BO26" s="27" t="e">
        <f t="shared" si="39"/>
        <v>#N/A</v>
      </c>
      <c r="BP26" s="27"/>
      <c r="BQ26" s="27"/>
    </row>
    <row r="27" spans="1:69" s="134" customFormat="1" x14ac:dyDescent="0.25">
      <c r="A27" s="128"/>
      <c r="B27" s="166"/>
      <c r="C27" s="126"/>
      <c r="D27" s="57" t="e">
        <f>VLOOKUP(G27,[1]!ModTbl,2,0)</f>
        <v>#N/A</v>
      </c>
      <c r="E27" s="57" t="e">
        <f>VLOOKUP(G27,[1]!ModTbl,3,0)</f>
        <v>#N/A</v>
      </c>
      <c r="F27" s="57" t="e">
        <f>VLOOKUP(G27,[1]!ModTbl,4,0)</f>
        <v>#N/A</v>
      </c>
      <c r="G27" s="25"/>
      <c r="H27" s="128"/>
      <c r="I27" s="128"/>
      <c r="J27" s="58" t="e">
        <f>VLOOKUP(G27,[1]!ModTbl,8,0)</f>
        <v>#N/A</v>
      </c>
      <c r="K27" s="58" t="e">
        <f>VLOOKUP(G27,[1]!ModTbl,9,0)</f>
        <v>#N/A</v>
      </c>
      <c r="L27" s="58" t="e">
        <f>VLOOKUP(G27,[1]!ModTbl,10,0)</f>
        <v>#N/A</v>
      </c>
      <c r="M27" s="58">
        <v>0</v>
      </c>
      <c r="N27" s="126" t="e">
        <f t="shared" si="4"/>
        <v>#N/A</v>
      </c>
      <c r="O27" s="126" t="e">
        <f t="shared" si="5"/>
        <v>#N/A</v>
      </c>
      <c r="P27" s="126" t="e">
        <f t="shared" si="6"/>
        <v>#N/A</v>
      </c>
      <c r="Q27" s="126" t="e">
        <f t="shared" si="7"/>
        <v>#N/A</v>
      </c>
      <c r="R27" s="126" t="e">
        <f t="shared" si="8"/>
        <v>#N/A</v>
      </c>
      <c r="S27" s="126" t="e">
        <f t="shared" si="9"/>
        <v>#N/A</v>
      </c>
      <c r="T27" s="126" t="e">
        <f t="shared" si="10"/>
        <v>#N/A</v>
      </c>
      <c r="U27" s="94" t="e">
        <f t="shared" si="11"/>
        <v>#N/A</v>
      </c>
      <c r="V27" s="94" t="e">
        <f t="shared" si="12"/>
        <v>#N/A</v>
      </c>
      <c r="W27" s="94" t="e">
        <f t="shared" si="13"/>
        <v>#N/A</v>
      </c>
      <c r="X27" s="94" t="e">
        <f t="shared" si="14"/>
        <v>#N/A</v>
      </c>
      <c r="Y27" s="95">
        <f t="shared" si="15"/>
        <v>0</v>
      </c>
      <c r="Z27" s="126" t="e">
        <f t="shared" si="16"/>
        <v>#N/A</v>
      </c>
      <c r="AA27" s="126" t="e">
        <f t="shared" si="17"/>
        <v>#N/A</v>
      </c>
      <c r="AB27" s="126" t="e">
        <f t="shared" si="18"/>
        <v>#N/A</v>
      </c>
      <c r="AC27" s="126" t="e">
        <f t="shared" si="19"/>
        <v>#N/A</v>
      </c>
      <c r="AD27" s="126"/>
      <c r="AE27" s="126"/>
      <c r="AF27" s="126"/>
      <c r="AG27" s="126"/>
      <c r="AH27" s="126"/>
      <c r="AI27" s="126">
        <f t="shared" si="20"/>
        <v>0</v>
      </c>
      <c r="AJ27" s="126"/>
      <c r="AK27" s="94" t="e">
        <f t="shared" si="21"/>
        <v>#N/A</v>
      </c>
      <c r="AL27" s="94" t="e">
        <f t="shared" si="22"/>
        <v>#N/A</v>
      </c>
      <c r="AM27" s="94" t="e">
        <f t="shared" si="23"/>
        <v>#N/A</v>
      </c>
      <c r="AN27" s="94" t="e">
        <f t="shared" si="24"/>
        <v>#N/A</v>
      </c>
      <c r="AO27" s="95">
        <f t="shared" si="25"/>
        <v>0</v>
      </c>
      <c r="AP27" s="126" t="e">
        <f t="shared" si="26"/>
        <v>#N/A</v>
      </c>
      <c r="AQ27" s="126" t="e">
        <f t="shared" si="27"/>
        <v>#N/A</v>
      </c>
      <c r="AR27" s="126" t="e">
        <f t="shared" si="28"/>
        <v>#N/A</v>
      </c>
      <c r="AS27" s="126" t="e">
        <f t="shared" si="29"/>
        <v>#N/A</v>
      </c>
      <c r="AT27" s="126">
        <v>0</v>
      </c>
      <c r="AU27" s="126"/>
      <c r="AV27" s="126"/>
      <c r="AW27" s="126"/>
      <c r="AX27" s="126"/>
      <c r="AY27" s="126">
        <f t="shared" si="30"/>
        <v>0</v>
      </c>
      <c r="AZ27" s="127"/>
      <c r="BA27" s="127"/>
      <c r="BB27" s="2"/>
      <c r="BC27" s="27" t="e">
        <f t="shared" si="31"/>
        <v>#N/A</v>
      </c>
      <c r="BD27" s="27" t="e">
        <f t="shared" si="32"/>
        <v>#N/A</v>
      </c>
      <c r="BE27" s="27"/>
      <c r="BF27" s="27">
        <f t="shared" si="33"/>
        <v>0</v>
      </c>
      <c r="BG27" s="27"/>
      <c r="BH27" s="27" t="e">
        <f t="shared" si="34"/>
        <v>#N/A</v>
      </c>
      <c r="BI27" s="27" t="e">
        <f t="shared" si="35"/>
        <v>#N/A</v>
      </c>
      <c r="BJ27" s="27" t="e">
        <f t="shared" si="36"/>
        <v>#N/A</v>
      </c>
      <c r="BK27" s="27"/>
      <c r="BL27" s="27"/>
      <c r="BM27" s="27" t="e">
        <f t="shared" si="37"/>
        <v>#N/A</v>
      </c>
      <c r="BN27" s="27" t="e">
        <f t="shared" si="38"/>
        <v>#N/A</v>
      </c>
      <c r="BO27" s="27" t="e">
        <f t="shared" si="39"/>
        <v>#N/A</v>
      </c>
      <c r="BP27" s="27"/>
      <c r="BQ27" s="27"/>
    </row>
    <row r="28" spans="1:69" s="134" customFormat="1" x14ac:dyDescent="0.25">
      <c r="A28" s="128"/>
      <c r="B28" s="166"/>
      <c r="C28" s="126"/>
      <c r="D28" s="57" t="e">
        <f>VLOOKUP(G28,[1]!ModTbl,2,0)</f>
        <v>#N/A</v>
      </c>
      <c r="E28" s="57" t="e">
        <f>VLOOKUP(G28,[1]!ModTbl,3,0)</f>
        <v>#N/A</v>
      </c>
      <c r="F28" s="57" t="e">
        <f>VLOOKUP(G28,[1]!ModTbl,4,0)</f>
        <v>#N/A</v>
      </c>
      <c r="G28" s="25"/>
      <c r="H28" s="128"/>
      <c r="I28" s="128"/>
      <c r="J28" s="58" t="e">
        <f>VLOOKUP(G28,[1]!ModTbl,8,0)</f>
        <v>#N/A</v>
      </c>
      <c r="K28" s="58" t="e">
        <f>VLOOKUP(G28,[1]!ModTbl,9,0)</f>
        <v>#N/A</v>
      </c>
      <c r="L28" s="58" t="e">
        <f>VLOOKUP(G28,[1]!ModTbl,10,0)</f>
        <v>#N/A</v>
      </c>
      <c r="M28" s="58">
        <v>0</v>
      </c>
      <c r="N28" s="126" t="e">
        <f t="shared" si="4"/>
        <v>#N/A</v>
      </c>
      <c r="O28" s="126" t="e">
        <f t="shared" si="5"/>
        <v>#N/A</v>
      </c>
      <c r="P28" s="126" t="e">
        <f t="shared" si="6"/>
        <v>#N/A</v>
      </c>
      <c r="Q28" s="126" t="e">
        <f t="shared" si="7"/>
        <v>#N/A</v>
      </c>
      <c r="R28" s="126" t="e">
        <f t="shared" si="8"/>
        <v>#N/A</v>
      </c>
      <c r="S28" s="126" t="e">
        <f t="shared" si="9"/>
        <v>#N/A</v>
      </c>
      <c r="T28" s="126" t="e">
        <f t="shared" si="10"/>
        <v>#N/A</v>
      </c>
      <c r="U28" s="94" t="e">
        <f t="shared" si="11"/>
        <v>#N/A</v>
      </c>
      <c r="V28" s="94" t="e">
        <f t="shared" si="12"/>
        <v>#N/A</v>
      </c>
      <c r="W28" s="94" t="e">
        <f t="shared" si="13"/>
        <v>#N/A</v>
      </c>
      <c r="X28" s="94" t="e">
        <f t="shared" si="14"/>
        <v>#N/A</v>
      </c>
      <c r="Y28" s="95">
        <f t="shared" si="15"/>
        <v>0</v>
      </c>
      <c r="Z28" s="126" t="e">
        <f t="shared" si="16"/>
        <v>#N/A</v>
      </c>
      <c r="AA28" s="126" t="e">
        <f t="shared" si="17"/>
        <v>#N/A</v>
      </c>
      <c r="AB28" s="126" t="e">
        <f t="shared" si="18"/>
        <v>#N/A</v>
      </c>
      <c r="AC28" s="126" t="e">
        <f t="shared" si="19"/>
        <v>#N/A</v>
      </c>
      <c r="AD28" s="126"/>
      <c r="AE28" s="126"/>
      <c r="AF28" s="126"/>
      <c r="AG28" s="126"/>
      <c r="AH28" s="126"/>
      <c r="AI28" s="126">
        <f t="shared" si="20"/>
        <v>0</v>
      </c>
      <c r="AJ28" s="126"/>
      <c r="AK28" s="94" t="e">
        <f t="shared" si="21"/>
        <v>#N/A</v>
      </c>
      <c r="AL28" s="94" t="e">
        <f t="shared" si="22"/>
        <v>#N/A</v>
      </c>
      <c r="AM28" s="94" t="e">
        <f t="shared" si="23"/>
        <v>#N/A</v>
      </c>
      <c r="AN28" s="94" t="e">
        <f t="shared" si="24"/>
        <v>#N/A</v>
      </c>
      <c r="AO28" s="95">
        <f t="shared" si="25"/>
        <v>0</v>
      </c>
      <c r="AP28" s="126" t="e">
        <f t="shared" si="26"/>
        <v>#N/A</v>
      </c>
      <c r="AQ28" s="126" t="e">
        <f t="shared" si="27"/>
        <v>#N/A</v>
      </c>
      <c r="AR28" s="126" t="e">
        <f t="shared" si="28"/>
        <v>#N/A</v>
      </c>
      <c r="AS28" s="126" t="e">
        <f t="shared" si="29"/>
        <v>#N/A</v>
      </c>
      <c r="AT28" s="126">
        <v>0</v>
      </c>
      <c r="AU28" s="126"/>
      <c r="AV28" s="126"/>
      <c r="AW28" s="126"/>
      <c r="AX28" s="126"/>
      <c r="AY28" s="126">
        <f t="shared" si="30"/>
        <v>0</v>
      </c>
      <c r="AZ28" s="127"/>
      <c r="BA28" s="127"/>
      <c r="BB28" s="2"/>
      <c r="BC28" s="27" t="e">
        <f t="shared" si="31"/>
        <v>#N/A</v>
      </c>
      <c r="BD28" s="27" t="e">
        <f t="shared" si="32"/>
        <v>#N/A</v>
      </c>
      <c r="BE28" s="27"/>
      <c r="BF28" s="27">
        <f t="shared" si="33"/>
        <v>0</v>
      </c>
      <c r="BG28" s="27"/>
      <c r="BH28" s="27" t="e">
        <f t="shared" si="34"/>
        <v>#N/A</v>
      </c>
      <c r="BI28" s="27" t="e">
        <f t="shared" si="35"/>
        <v>#N/A</v>
      </c>
      <c r="BJ28" s="27" t="e">
        <f t="shared" si="36"/>
        <v>#N/A</v>
      </c>
      <c r="BK28" s="27"/>
      <c r="BL28" s="27"/>
      <c r="BM28" s="27" t="e">
        <f t="shared" si="37"/>
        <v>#N/A</v>
      </c>
      <c r="BN28" s="27" t="e">
        <f t="shared" si="38"/>
        <v>#N/A</v>
      </c>
      <c r="BO28" s="27" t="e">
        <f t="shared" si="39"/>
        <v>#N/A</v>
      </c>
      <c r="BP28" s="27"/>
      <c r="BQ28" s="27"/>
    </row>
    <row r="29" spans="1:69" s="134" customFormat="1" x14ac:dyDescent="0.25">
      <c r="A29" s="128"/>
      <c r="B29" s="166"/>
      <c r="C29" s="126"/>
      <c r="D29" s="57" t="e">
        <f>VLOOKUP(G29,[1]!ModTbl,2,0)</f>
        <v>#N/A</v>
      </c>
      <c r="E29" s="57" t="e">
        <f>VLOOKUP(G29,[1]!ModTbl,3,0)</f>
        <v>#N/A</v>
      </c>
      <c r="F29" s="57" t="e">
        <f>VLOOKUP(G29,[1]!ModTbl,4,0)</f>
        <v>#N/A</v>
      </c>
      <c r="G29" s="25"/>
      <c r="H29" s="128"/>
      <c r="I29" s="128"/>
      <c r="J29" s="58" t="e">
        <f>VLOOKUP(G29,[1]!ModTbl,8,0)</f>
        <v>#N/A</v>
      </c>
      <c r="K29" s="58" t="e">
        <f>VLOOKUP(G29,[1]!ModTbl,9,0)</f>
        <v>#N/A</v>
      </c>
      <c r="L29" s="58" t="e">
        <f>VLOOKUP(G29,[1]!ModTbl,10,0)</f>
        <v>#N/A</v>
      </c>
      <c r="M29" s="58">
        <v>0</v>
      </c>
      <c r="N29" s="126" t="e">
        <f t="shared" si="4"/>
        <v>#N/A</v>
      </c>
      <c r="O29" s="126" t="e">
        <f t="shared" si="5"/>
        <v>#N/A</v>
      </c>
      <c r="P29" s="126" t="e">
        <f t="shared" si="6"/>
        <v>#N/A</v>
      </c>
      <c r="Q29" s="126" t="e">
        <f t="shared" si="7"/>
        <v>#N/A</v>
      </c>
      <c r="R29" s="126" t="e">
        <f t="shared" si="8"/>
        <v>#N/A</v>
      </c>
      <c r="S29" s="126" t="e">
        <f t="shared" si="9"/>
        <v>#N/A</v>
      </c>
      <c r="T29" s="126" t="e">
        <f t="shared" si="10"/>
        <v>#N/A</v>
      </c>
      <c r="U29" s="94" t="e">
        <f t="shared" si="11"/>
        <v>#N/A</v>
      </c>
      <c r="V29" s="94" t="e">
        <f t="shared" si="12"/>
        <v>#N/A</v>
      </c>
      <c r="W29" s="94" t="e">
        <f t="shared" si="13"/>
        <v>#N/A</v>
      </c>
      <c r="X29" s="94" t="e">
        <f t="shared" si="14"/>
        <v>#N/A</v>
      </c>
      <c r="Y29" s="95">
        <f t="shared" si="15"/>
        <v>0</v>
      </c>
      <c r="Z29" s="126" t="e">
        <f t="shared" si="16"/>
        <v>#N/A</v>
      </c>
      <c r="AA29" s="126" t="e">
        <f t="shared" si="17"/>
        <v>#N/A</v>
      </c>
      <c r="AB29" s="126" t="e">
        <f t="shared" si="18"/>
        <v>#N/A</v>
      </c>
      <c r="AC29" s="126" t="e">
        <f t="shared" si="19"/>
        <v>#N/A</v>
      </c>
      <c r="AD29" s="126"/>
      <c r="AE29" s="126"/>
      <c r="AF29" s="126"/>
      <c r="AG29" s="126"/>
      <c r="AH29" s="126"/>
      <c r="AI29" s="126">
        <f t="shared" si="20"/>
        <v>0</v>
      </c>
      <c r="AJ29" s="126"/>
      <c r="AK29" s="94" t="e">
        <f t="shared" si="21"/>
        <v>#N/A</v>
      </c>
      <c r="AL29" s="94" t="e">
        <f t="shared" si="22"/>
        <v>#N/A</v>
      </c>
      <c r="AM29" s="94" t="e">
        <f t="shared" si="23"/>
        <v>#N/A</v>
      </c>
      <c r="AN29" s="94" t="e">
        <f t="shared" si="24"/>
        <v>#N/A</v>
      </c>
      <c r="AO29" s="95">
        <f t="shared" si="25"/>
        <v>0</v>
      </c>
      <c r="AP29" s="126" t="e">
        <f t="shared" si="26"/>
        <v>#N/A</v>
      </c>
      <c r="AQ29" s="126" t="e">
        <f t="shared" si="27"/>
        <v>#N/A</v>
      </c>
      <c r="AR29" s="126" t="e">
        <f t="shared" si="28"/>
        <v>#N/A</v>
      </c>
      <c r="AS29" s="126" t="e">
        <f t="shared" si="29"/>
        <v>#N/A</v>
      </c>
      <c r="AT29" s="126">
        <v>0</v>
      </c>
      <c r="AU29" s="126"/>
      <c r="AV29" s="126"/>
      <c r="AW29" s="126"/>
      <c r="AX29" s="126"/>
      <c r="AY29" s="126">
        <f t="shared" si="30"/>
        <v>0</v>
      </c>
      <c r="AZ29" s="127"/>
      <c r="BA29" s="127"/>
      <c r="BB29" s="2"/>
      <c r="BC29" s="27" t="e">
        <f t="shared" si="31"/>
        <v>#N/A</v>
      </c>
      <c r="BD29" s="27" t="e">
        <f t="shared" si="32"/>
        <v>#N/A</v>
      </c>
      <c r="BE29" s="27"/>
      <c r="BF29" s="27">
        <f t="shared" si="33"/>
        <v>0</v>
      </c>
      <c r="BG29" s="27"/>
      <c r="BH29" s="27" t="e">
        <f t="shared" si="34"/>
        <v>#N/A</v>
      </c>
      <c r="BI29" s="27" t="e">
        <f t="shared" si="35"/>
        <v>#N/A</v>
      </c>
      <c r="BJ29" s="27" t="e">
        <f t="shared" si="36"/>
        <v>#N/A</v>
      </c>
      <c r="BK29" s="27"/>
      <c r="BL29" s="27"/>
      <c r="BM29" s="27" t="e">
        <f t="shared" si="37"/>
        <v>#N/A</v>
      </c>
      <c r="BN29" s="27" t="e">
        <f t="shared" si="38"/>
        <v>#N/A</v>
      </c>
      <c r="BO29" s="27" t="e">
        <f t="shared" si="39"/>
        <v>#N/A</v>
      </c>
      <c r="BP29" s="27"/>
      <c r="BQ29" s="27"/>
    </row>
    <row r="30" spans="1:69" s="134" customFormat="1" x14ac:dyDescent="0.25">
      <c r="A30" s="128"/>
      <c r="B30" s="166"/>
      <c r="C30" s="126"/>
      <c r="D30" s="57" t="e">
        <f>VLOOKUP(G30,[1]!ModTbl,2,0)</f>
        <v>#N/A</v>
      </c>
      <c r="E30" s="57" t="e">
        <f>VLOOKUP(G30,[1]!ModTbl,3,0)</f>
        <v>#N/A</v>
      </c>
      <c r="F30" s="57" t="e">
        <f>VLOOKUP(G30,[1]!ModTbl,4,0)</f>
        <v>#N/A</v>
      </c>
      <c r="G30" s="25"/>
      <c r="H30" s="128"/>
      <c r="I30" s="128"/>
      <c r="J30" s="58" t="e">
        <f>VLOOKUP(G30,[1]!ModTbl,8,0)</f>
        <v>#N/A</v>
      </c>
      <c r="K30" s="58" t="e">
        <f>VLOOKUP(G30,[1]!ModTbl,9,0)</f>
        <v>#N/A</v>
      </c>
      <c r="L30" s="58" t="e">
        <f>VLOOKUP(G30,[1]!ModTbl,10,0)</f>
        <v>#N/A</v>
      </c>
      <c r="M30" s="58">
        <v>0</v>
      </c>
      <c r="N30" s="126" t="e">
        <f t="shared" si="4"/>
        <v>#N/A</v>
      </c>
      <c r="O30" s="126" t="e">
        <f t="shared" si="5"/>
        <v>#N/A</v>
      </c>
      <c r="P30" s="126" t="e">
        <f t="shared" si="6"/>
        <v>#N/A</v>
      </c>
      <c r="Q30" s="126" t="e">
        <f t="shared" si="7"/>
        <v>#N/A</v>
      </c>
      <c r="R30" s="126" t="e">
        <f t="shared" si="8"/>
        <v>#N/A</v>
      </c>
      <c r="S30" s="126" t="e">
        <f t="shared" si="9"/>
        <v>#N/A</v>
      </c>
      <c r="T30" s="126" t="e">
        <f t="shared" si="10"/>
        <v>#N/A</v>
      </c>
      <c r="U30" s="94" t="e">
        <f t="shared" si="11"/>
        <v>#N/A</v>
      </c>
      <c r="V30" s="94" t="e">
        <f t="shared" si="12"/>
        <v>#N/A</v>
      </c>
      <c r="W30" s="94" t="e">
        <f t="shared" si="13"/>
        <v>#N/A</v>
      </c>
      <c r="X30" s="94" t="e">
        <f t="shared" si="14"/>
        <v>#N/A</v>
      </c>
      <c r="Y30" s="95">
        <f t="shared" si="15"/>
        <v>0</v>
      </c>
      <c r="Z30" s="126" t="e">
        <f t="shared" si="16"/>
        <v>#N/A</v>
      </c>
      <c r="AA30" s="126" t="e">
        <f t="shared" si="17"/>
        <v>#N/A</v>
      </c>
      <c r="AB30" s="126" t="e">
        <f t="shared" si="18"/>
        <v>#N/A</v>
      </c>
      <c r="AC30" s="126" t="e">
        <f t="shared" si="19"/>
        <v>#N/A</v>
      </c>
      <c r="AD30" s="126"/>
      <c r="AE30" s="126"/>
      <c r="AF30" s="126"/>
      <c r="AG30" s="126"/>
      <c r="AH30" s="126"/>
      <c r="AI30" s="126">
        <f t="shared" si="20"/>
        <v>0</v>
      </c>
      <c r="AJ30" s="126"/>
      <c r="AK30" s="94" t="e">
        <f t="shared" si="21"/>
        <v>#N/A</v>
      </c>
      <c r="AL30" s="94" t="e">
        <f t="shared" si="22"/>
        <v>#N/A</v>
      </c>
      <c r="AM30" s="94" t="e">
        <f t="shared" si="23"/>
        <v>#N/A</v>
      </c>
      <c r="AN30" s="94" t="e">
        <f t="shared" si="24"/>
        <v>#N/A</v>
      </c>
      <c r="AO30" s="95">
        <f t="shared" si="25"/>
        <v>0</v>
      </c>
      <c r="AP30" s="126" t="e">
        <f t="shared" si="26"/>
        <v>#N/A</v>
      </c>
      <c r="AQ30" s="126" t="e">
        <f t="shared" si="27"/>
        <v>#N/A</v>
      </c>
      <c r="AR30" s="126" t="e">
        <f t="shared" si="28"/>
        <v>#N/A</v>
      </c>
      <c r="AS30" s="126" t="e">
        <f t="shared" si="29"/>
        <v>#N/A</v>
      </c>
      <c r="AT30" s="126">
        <v>0</v>
      </c>
      <c r="AU30" s="126"/>
      <c r="AV30" s="126"/>
      <c r="AW30" s="126"/>
      <c r="AX30" s="126"/>
      <c r="AY30" s="126">
        <f t="shared" si="30"/>
        <v>0</v>
      </c>
      <c r="AZ30" s="127"/>
      <c r="BA30" s="127"/>
      <c r="BB30" s="2"/>
      <c r="BC30" s="27" t="e">
        <f t="shared" si="31"/>
        <v>#N/A</v>
      </c>
      <c r="BD30" s="27" t="e">
        <f t="shared" si="32"/>
        <v>#N/A</v>
      </c>
      <c r="BE30" s="27"/>
      <c r="BF30" s="27">
        <f t="shared" si="33"/>
        <v>0</v>
      </c>
      <c r="BG30" s="27"/>
      <c r="BH30" s="27" t="e">
        <f t="shared" si="34"/>
        <v>#N/A</v>
      </c>
      <c r="BI30" s="27" t="e">
        <f t="shared" si="35"/>
        <v>#N/A</v>
      </c>
      <c r="BJ30" s="27" t="e">
        <f t="shared" si="36"/>
        <v>#N/A</v>
      </c>
      <c r="BK30" s="27"/>
      <c r="BL30" s="27"/>
      <c r="BM30" s="27" t="e">
        <f t="shared" si="37"/>
        <v>#N/A</v>
      </c>
      <c r="BN30" s="27" t="e">
        <f t="shared" si="38"/>
        <v>#N/A</v>
      </c>
      <c r="BO30" s="27" t="e">
        <f t="shared" si="39"/>
        <v>#N/A</v>
      </c>
      <c r="BP30" s="27"/>
      <c r="BQ30" s="27"/>
    </row>
    <row r="31" spans="1:69" s="134" customFormat="1" x14ac:dyDescent="0.25">
      <c r="A31" s="128"/>
      <c r="B31" s="166"/>
      <c r="C31" s="126"/>
      <c r="D31" s="57" t="e">
        <f>VLOOKUP(G31,[1]!ModTbl,2,0)</f>
        <v>#N/A</v>
      </c>
      <c r="E31" s="57" t="e">
        <f>VLOOKUP(G31,[1]!ModTbl,3,0)</f>
        <v>#N/A</v>
      </c>
      <c r="F31" s="57" t="e">
        <f>VLOOKUP(G31,[1]!ModTbl,4,0)</f>
        <v>#N/A</v>
      </c>
      <c r="G31" s="25"/>
      <c r="H31" s="128"/>
      <c r="I31" s="128"/>
      <c r="J31" s="58" t="e">
        <f>VLOOKUP(G31,[1]!ModTbl,8,0)</f>
        <v>#N/A</v>
      </c>
      <c r="K31" s="58" t="e">
        <f>VLOOKUP(G31,[1]!ModTbl,9,0)</f>
        <v>#N/A</v>
      </c>
      <c r="L31" s="58" t="e">
        <f>VLOOKUP(G31,[1]!ModTbl,10,0)</f>
        <v>#N/A</v>
      </c>
      <c r="M31" s="58">
        <v>0</v>
      </c>
      <c r="N31" s="126" t="e">
        <f t="shared" si="4"/>
        <v>#N/A</v>
      </c>
      <c r="O31" s="126" t="e">
        <f t="shared" si="5"/>
        <v>#N/A</v>
      </c>
      <c r="P31" s="126" t="e">
        <f t="shared" si="6"/>
        <v>#N/A</v>
      </c>
      <c r="Q31" s="126" t="e">
        <f t="shared" si="7"/>
        <v>#N/A</v>
      </c>
      <c r="R31" s="126" t="e">
        <f t="shared" si="8"/>
        <v>#N/A</v>
      </c>
      <c r="S31" s="126" t="e">
        <f t="shared" si="9"/>
        <v>#N/A</v>
      </c>
      <c r="T31" s="126" t="e">
        <f t="shared" si="10"/>
        <v>#N/A</v>
      </c>
      <c r="U31" s="94" t="e">
        <f t="shared" si="11"/>
        <v>#N/A</v>
      </c>
      <c r="V31" s="94" t="e">
        <f t="shared" si="12"/>
        <v>#N/A</v>
      </c>
      <c r="W31" s="94" t="e">
        <f t="shared" si="13"/>
        <v>#N/A</v>
      </c>
      <c r="X31" s="94" t="e">
        <f t="shared" si="14"/>
        <v>#N/A</v>
      </c>
      <c r="Y31" s="95">
        <f t="shared" si="15"/>
        <v>0</v>
      </c>
      <c r="Z31" s="126" t="e">
        <f t="shared" si="16"/>
        <v>#N/A</v>
      </c>
      <c r="AA31" s="126" t="e">
        <f t="shared" si="17"/>
        <v>#N/A</v>
      </c>
      <c r="AB31" s="126" t="e">
        <f t="shared" si="18"/>
        <v>#N/A</v>
      </c>
      <c r="AC31" s="126" t="e">
        <f t="shared" si="19"/>
        <v>#N/A</v>
      </c>
      <c r="AD31" s="126"/>
      <c r="AE31" s="126"/>
      <c r="AF31" s="126"/>
      <c r="AG31" s="126"/>
      <c r="AH31" s="126"/>
      <c r="AI31" s="126">
        <f t="shared" si="20"/>
        <v>0</v>
      </c>
      <c r="AJ31" s="126"/>
      <c r="AK31" s="94" t="e">
        <f t="shared" si="21"/>
        <v>#N/A</v>
      </c>
      <c r="AL31" s="94" t="e">
        <f t="shared" si="22"/>
        <v>#N/A</v>
      </c>
      <c r="AM31" s="94" t="e">
        <f t="shared" si="23"/>
        <v>#N/A</v>
      </c>
      <c r="AN31" s="94" t="e">
        <f t="shared" si="24"/>
        <v>#N/A</v>
      </c>
      <c r="AO31" s="95">
        <f t="shared" si="25"/>
        <v>0</v>
      </c>
      <c r="AP31" s="126" t="e">
        <f t="shared" si="26"/>
        <v>#N/A</v>
      </c>
      <c r="AQ31" s="126" t="e">
        <f t="shared" si="27"/>
        <v>#N/A</v>
      </c>
      <c r="AR31" s="126" t="e">
        <f t="shared" si="28"/>
        <v>#N/A</v>
      </c>
      <c r="AS31" s="126" t="e">
        <f t="shared" si="29"/>
        <v>#N/A</v>
      </c>
      <c r="AT31" s="126">
        <v>0</v>
      </c>
      <c r="AU31" s="126"/>
      <c r="AV31" s="126"/>
      <c r="AW31" s="126"/>
      <c r="AX31" s="126"/>
      <c r="AY31" s="126">
        <f t="shared" si="30"/>
        <v>0</v>
      </c>
      <c r="AZ31" s="127"/>
      <c r="BA31" s="127"/>
      <c r="BB31" s="2"/>
      <c r="BC31" s="27" t="e">
        <f t="shared" si="31"/>
        <v>#N/A</v>
      </c>
      <c r="BD31" s="27" t="e">
        <f t="shared" si="32"/>
        <v>#N/A</v>
      </c>
      <c r="BE31" s="27"/>
      <c r="BF31" s="27">
        <f t="shared" si="33"/>
        <v>0</v>
      </c>
      <c r="BG31" s="27"/>
      <c r="BH31" s="27" t="e">
        <f t="shared" si="34"/>
        <v>#N/A</v>
      </c>
      <c r="BI31" s="27" t="e">
        <f t="shared" si="35"/>
        <v>#N/A</v>
      </c>
      <c r="BJ31" s="27" t="e">
        <f t="shared" si="36"/>
        <v>#N/A</v>
      </c>
      <c r="BK31" s="27"/>
      <c r="BL31" s="27"/>
      <c r="BM31" s="27" t="e">
        <f t="shared" si="37"/>
        <v>#N/A</v>
      </c>
      <c r="BN31" s="27" t="e">
        <f t="shared" si="38"/>
        <v>#N/A</v>
      </c>
      <c r="BO31" s="27" t="e">
        <f t="shared" si="39"/>
        <v>#N/A</v>
      </c>
      <c r="BP31" s="27"/>
      <c r="BQ31" s="27"/>
    </row>
    <row r="32" spans="1:69" s="2" customFormat="1" x14ac:dyDescent="0.25">
      <c r="A32" s="128"/>
      <c r="B32" s="166"/>
      <c r="C32" s="126"/>
      <c r="D32" s="57" t="e">
        <f>VLOOKUP(G32,[1]!ModTbl,2,0)</f>
        <v>#N/A</v>
      </c>
      <c r="E32" s="57" t="e">
        <f>VLOOKUP(G32,[1]!ModTbl,3,0)</f>
        <v>#N/A</v>
      </c>
      <c r="F32" s="57" t="e">
        <f>VLOOKUP(G32,[1]!ModTbl,4,0)</f>
        <v>#N/A</v>
      </c>
      <c r="G32" s="25"/>
      <c r="H32" s="128"/>
      <c r="I32" s="128"/>
      <c r="J32" s="58" t="e">
        <f>VLOOKUP(G32,[1]!ModTbl,8,0)</f>
        <v>#N/A</v>
      </c>
      <c r="K32" s="58" t="e">
        <f>VLOOKUP(G32,[1]!ModTbl,9,0)</f>
        <v>#N/A</v>
      </c>
      <c r="L32" s="58" t="e">
        <f>VLOOKUP(G32,[1]!ModTbl,10,0)</f>
        <v>#N/A</v>
      </c>
      <c r="M32" s="58">
        <v>0</v>
      </c>
      <c r="N32" s="126" t="e">
        <f t="shared" si="4"/>
        <v>#N/A</v>
      </c>
      <c r="O32" s="126" t="e">
        <f t="shared" si="5"/>
        <v>#N/A</v>
      </c>
      <c r="P32" s="126" t="e">
        <f t="shared" si="6"/>
        <v>#N/A</v>
      </c>
      <c r="Q32" s="126" t="e">
        <f t="shared" si="7"/>
        <v>#N/A</v>
      </c>
      <c r="R32" s="126" t="e">
        <f t="shared" si="8"/>
        <v>#N/A</v>
      </c>
      <c r="S32" s="126" t="e">
        <f t="shared" si="9"/>
        <v>#N/A</v>
      </c>
      <c r="T32" s="126" t="e">
        <f t="shared" si="10"/>
        <v>#N/A</v>
      </c>
      <c r="U32" s="94" t="e">
        <f t="shared" si="11"/>
        <v>#N/A</v>
      </c>
      <c r="V32" s="94" t="e">
        <f t="shared" si="12"/>
        <v>#N/A</v>
      </c>
      <c r="W32" s="94" t="e">
        <f t="shared" si="13"/>
        <v>#N/A</v>
      </c>
      <c r="X32" s="94" t="e">
        <f t="shared" si="14"/>
        <v>#N/A</v>
      </c>
      <c r="Y32" s="95">
        <f t="shared" si="15"/>
        <v>0</v>
      </c>
      <c r="Z32" s="126" t="e">
        <f t="shared" si="16"/>
        <v>#N/A</v>
      </c>
      <c r="AA32" s="126" t="e">
        <f t="shared" si="17"/>
        <v>#N/A</v>
      </c>
      <c r="AB32" s="126" t="e">
        <f t="shared" si="18"/>
        <v>#N/A</v>
      </c>
      <c r="AC32" s="126" t="e">
        <f t="shared" si="19"/>
        <v>#N/A</v>
      </c>
      <c r="AD32" s="126"/>
      <c r="AE32" s="126"/>
      <c r="AF32" s="126"/>
      <c r="AG32" s="126"/>
      <c r="AH32" s="126"/>
      <c r="AI32" s="126">
        <f t="shared" si="20"/>
        <v>0</v>
      </c>
      <c r="AJ32" s="126"/>
      <c r="AK32" s="94" t="e">
        <f t="shared" si="21"/>
        <v>#N/A</v>
      </c>
      <c r="AL32" s="94" t="e">
        <f t="shared" si="22"/>
        <v>#N/A</v>
      </c>
      <c r="AM32" s="94" t="e">
        <f t="shared" si="23"/>
        <v>#N/A</v>
      </c>
      <c r="AN32" s="94" t="e">
        <f t="shared" si="24"/>
        <v>#N/A</v>
      </c>
      <c r="AO32" s="95">
        <f t="shared" si="25"/>
        <v>0</v>
      </c>
      <c r="AP32" s="126" t="e">
        <f t="shared" si="26"/>
        <v>#N/A</v>
      </c>
      <c r="AQ32" s="126" t="e">
        <f t="shared" si="27"/>
        <v>#N/A</v>
      </c>
      <c r="AR32" s="126" t="e">
        <f t="shared" si="28"/>
        <v>#N/A</v>
      </c>
      <c r="AS32" s="126" t="e">
        <f t="shared" si="29"/>
        <v>#N/A</v>
      </c>
      <c r="AT32" s="126">
        <v>0</v>
      </c>
      <c r="AU32" s="126"/>
      <c r="AV32" s="126"/>
      <c r="AW32" s="126"/>
      <c r="AX32" s="126"/>
      <c r="AY32" s="126">
        <f t="shared" si="30"/>
        <v>0</v>
      </c>
      <c r="AZ32" s="127"/>
      <c r="BA32" s="127"/>
      <c r="BC32" s="27" t="e">
        <f t="shared" si="31"/>
        <v>#N/A</v>
      </c>
      <c r="BD32" s="27" t="e">
        <f t="shared" si="32"/>
        <v>#N/A</v>
      </c>
      <c r="BE32" s="27"/>
      <c r="BF32" s="27">
        <f t="shared" si="33"/>
        <v>0</v>
      </c>
      <c r="BG32" s="27"/>
      <c r="BH32" s="27" t="e">
        <f t="shared" si="34"/>
        <v>#N/A</v>
      </c>
      <c r="BI32" s="27" t="e">
        <f t="shared" si="35"/>
        <v>#N/A</v>
      </c>
      <c r="BJ32" s="27" t="e">
        <f t="shared" si="36"/>
        <v>#N/A</v>
      </c>
      <c r="BK32" s="27"/>
      <c r="BL32" s="27"/>
      <c r="BM32" s="27" t="e">
        <f t="shared" si="37"/>
        <v>#N/A</v>
      </c>
      <c r="BN32" s="27" t="e">
        <f t="shared" si="38"/>
        <v>#N/A</v>
      </c>
      <c r="BO32" s="27" t="e">
        <f t="shared" si="39"/>
        <v>#N/A</v>
      </c>
      <c r="BP32" s="27"/>
      <c r="BQ32" s="27"/>
    </row>
    <row r="33" spans="1:69" s="2" customFormat="1" x14ac:dyDescent="0.25">
      <c r="A33" s="128"/>
      <c r="B33" s="166"/>
      <c r="C33" s="126"/>
      <c r="D33" s="57" t="e">
        <f>VLOOKUP(G33,[1]!ModTbl,2,0)</f>
        <v>#N/A</v>
      </c>
      <c r="E33" s="57" t="e">
        <f>VLOOKUP(G33,[1]!ModTbl,3,0)</f>
        <v>#N/A</v>
      </c>
      <c r="F33" s="57" t="e">
        <f>VLOOKUP(G33,[1]!ModTbl,4,0)</f>
        <v>#N/A</v>
      </c>
      <c r="G33" s="25"/>
      <c r="H33" s="128"/>
      <c r="I33" s="128"/>
      <c r="J33" s="58" t="e">
        <f>VLOOKUP(G33,[1]!ModTbl,8,0)</f>
        <v>#N/A</v>
      </c>
      <c r="K33" s="58" t="e">
        <f>VLOOKUP(G33,[1]!ModTbl,9,0)</f>
        <v>#N/A</v>
      </c>
      <c r="L33" s="58" t="e">
        <f>VLOOKUP(G33,[1]!ModTbl,10,0)</f>
        <v>#N/A</v>
      </c>
      <c r="M33" s="58">
        <v>0</v>
      </c>
      <c r="N33" s="126" t="e">
        <f t="shared" si="4"/>
        <v>#N/A</v>
      </c>
      <c r="O33" s="126" t="e">
        <f t="shared" si="5"/>
        <v>#N/A</v>
      </c>
      <c r="P33" s="126" t="e">
        <f t="shared" si="6"/>
        <v>#N/A</v>
      </c>
      <c r="Q33" s="126" t="e">
        <f t="shared" si="7"/>
        <v>#N/A</v>
      </c>
      <c r="R33" s="126" t="e">
        <f t="shared" si="8"/>
        <v>#N/A</v>
      </c>
      <c r="S33" s="126" t="e">
        <f t="shared" si="9"/>
        <v>#N/A</v>
      </c>
      <c r="T33" s="126" t="e">
        <f t="shared" si="10"/>
        <v>#N/A</v>
      </c>
      <c r="U33" s="94" t="e">
        <f t="shared" si="11"/>
        <v>#N/A</v>
      </c>
      <c r="V33" s="94" t="e">
        <f t="shared" si="12"/>
        <v>#N/A</v>
      </c>
      <c r="W33" s="94" t="e">
        <f t="shared" si="13"/>
        <v>#N/A</v>
      </c>
      <c r="X33" s="94" t="e">
        <f t="shared" si="14"/>
        <v>#N/A</v>
      </c>
      <c r="Y33" s="95">
        <f t="shared" si="15"/>
        <v>0</v>
      </c>
      <c r="Z33" s="126" t="e">
        <f t="shared" si="16"/>
        <v>#N/A</v>
      </c>
      <c r="AA33" s="126" t="e">
        <f t="shared" si="17"/>
        <v>#N/A</v>
      </c>
      <c r="AB33" s="126" t="e">
        <f t="shared" si="18"/>
        <v>#N/A</v>
      </c>
      <c r="AC33" s="126" t="e">
        <f t="shared" si="19"/>
        <v>#N/A</v>
      </c>
      <c r="AD33" s="126"/>
      <c r="AE33" s="126"/>
      <c r="AF33" s="126"/>
      <c r="AG33" s="126"/>
      <c r="AH33" s="126"/>
      <c r="AI33" s="126">
        <f t="shared" si="20"/>
        <v>0</v>
      </c>
      <c r="AJ33" s="126"/>
      <c r="AK33" s="94" t="e">
        <f t="shared" si="21"/>
        <v>#N/A</v>
      </c>
      <c r="AL33" s="94" t="e">
        <f t="shared" si="22"/>
        <v>#N/A</v>
      </c>
      <c r="AM33" s="94" t="e">
        <f t="shared" si="23"/>
        <v>#N/A</v>
      </c>
      <c r="AN33" s="94" t="e">
        <f t="shared" si="24"/>
        <v>#N/A</v>
      </c>
      <c r="AO33" s="95">
        <f t="shared" si="25"/>
        <v>0</v>
      </c>
      <c r="AP33" s="126" t="e">
        <f t="shared" si="26"/>
        <v>#N/A</v>
      </c>
      <c r="AQ33" s="126" t="e">
        <f t="shared" si="27"/>
        <v>#N/A</v>
      </c>
      <c r="AR33" s="126" t="e">
        <f t="shared" si="28"/>
        <v>#N/A</v>
      </c>
      <c r="AS33" s="126" t="e">
        <f t="shared" si="29"/>
        <v>#N/A</v>
      </c>
      <c r="AT33" s="126">
        <v>0</v>
      </c>
      <c r="AU33" s="126"/>
      <c r="AV33" s="126"/>
      <c r="AW33" s="126"/>
      <c r="AX33" s="126"/>
      <c r="AY33" s="126">
        <f t="shared" si="30"/>
        <v>0</v>
      </c>
      <c r="AZ33" s="127"/>
      <c r="BA33" s="127"/>
      <c r="BC33" s="27" t="e">
        <f t="shared" si="31"/>
        <v>#N/A</v>
      </c>
      <c r="BD33" s="27" t="e">
        <f t="shared" si="32"/>
        <v>#N/A</v>
      </c>
      <c r="BE33" s="27"/>
      <c r="BF33" s="27">
        <f t="shared" si="33"/>
        <v>0</v>
      </c>
      <c r="BG33" s="27"/>
      <c r="BH33" s="27" t="e">
        <f t="shared" si="34"/>
        <v>#N/A</v>
      </c>
      <c r="BI33" s="27" t="e">
        <f t="shared" si="35"/>
        <v>#N/A</v>
      </c>
      <c r="BJ33" s="27" t="e">
        <f t="shared" si="36"/>
        <v>#N/A</v>
      </c>
      <c r="BK33" s="27"/>
      <c r="BL33" s="27"/>
      <c r="BM33" s="27" t="e">
        <f t="shared" si="37"/>
        <v>#N/A</v>
      </c>
      <c r="BN33" s="27" t="e">
        <f t="shared" si="38"/>
        <v>#N/A</v>
      </c>
      <c r="BO33" s="27" t="e">
        <f t="shared" si="39"/>
        <v>#N/A</v>
      </c>
      <c r="BP33" s="27"/>
      <c r="BQ33" s="27"/>
    </row>
    <row r="34" spans="1:69" s="2" customFormat="1" x14ac:dyDescent="0.25">
      <c r="A34" s="128"/>
      <c r="B34" s="166"/>
      <c r="C34" s="126"/>
      <c r="D34" s="57" t="e">
        <f>VLOOKUP(G34,[1]!ModTbl,2,0)</f>
        <v>#N/A</v>
      </c>
      <c r="E34" s="57" t="e">
        <f>VLOOKUP(G34,[1]!ModTbl,3,0)</f>
        <v>#N/A</v>
      </c>
      <c r="F34" s="57" t="e">
        <f>VLOOKUP(G34,[1]!ModTbl,4,0)</f>
        <v>#N/A</v>
      </c>
      <c r="G34" s="25"/>
      <c r="H34" s="128"/>
      <c r="I34" s="128"/>
      <c r="J34" s="58" t="e">
        <f>VLOOKUP(G34,[1]!ModTbl,8,0)</f>
        <v>#N/A</v>
      </c>
      <c r="K34" s="58" t="e">
        <f>VLOOKUP(G34,[1]!ModTbl,9,0)</f>
        <v>#N/A</v>
      </c>
      <c r="L34" s="58" t="e">
        <f>VLOOKUP(G34,[1]!ModTbl,10,0)</f>
        <v>#N/A</v>
      </c>
      <c r="M34" s="58">
        <v>0</v>
      </c>
      <c r="N34" s="126" t="e">
        <f t="shared" si="4"/>
        <v>#N/A</v>
      </c>
      <c r="O34" s="126" t="e">
        <f t="shared" si="5"/>
        <v>#N/A</v>
      </c>
      <c r="P34" s="126" t="e">
        <f t="shared" si="6"/>
        <v>#N/A</v>
      </c>
      <c r="Q34" s="126" t="e">
        <f t="shared" si="7"/>
        <v>#N/A</v>
      </c>
      <c r="R34" s="126" t="e">
        <f t="shared" si="8"/>
        <v>#N/A</v>
      </c>
      <c r="S34" s="126" t="e">
        <f t="shared" si="9"/>
        <v>#N/A</v>
      </c>
      <c r="T34" s="126" t="e">
        <f t="shared" si="10"/>
        <v>#N/A</v>
      </c>
      <c r="U34" s="94" t="e">
        <f t="shared" si="11"/>
        <v>#N/A</v>
      </c>
      <c r="V34" s="94" t="e">
        <f t="shared" si="12"/>
        <v>#N/A</v>
      </c>
      <c r="W34" s="94" t="e">
        <f t="shared" si="13"/>
        <v>#N/A</v>
      </c>
      <c r="X34" s="94" t="e">
        <f t="shared" si="14"/>
        <v>#N/A</v>
      </c>
      <c r="Y34" s="95">
        <f t="shared" si="15"/>
        <v>0</v>
      </c>
      <c r="Z34" s="126" t="e">
        <f t="shared" si="16"/>
        <v>#N/A</v>
      </c>
      <c r="AA34" s="126" t="e">
        <f t="shared" si="17"/>
        <v>#N/A</v>
      </c>
      <c r="AB34" s="126" t="e">
        <f t="shared" si="18"/>
        <v>#N/A</v>
      </c>
      <c r="AC34" s="126" t="e">
        <f t="shared" si="19"/>
        <v>#N/A</v>
      </c>
      <c r="AD34" s="126"/>
      <c r="AE34" s="126"/>
      <c r="AF34" s="126"/>
      <c r="AG34" s="126"/>
      <c r="AH34" s="126"/>
      <c r="AI34" s="126">
        <f t="shared" si="20"/>
        <v>0</v>
      </c>
      <c r="AJ34" s="126"/>
      <c r="AK34" s="94" t="e">
        <f t="shared" si="21"/>
        <v>#N/A</v>
      </c>
      <c r="AL34" s="94" t="e">
        <f t="shared" si="22"/>
        <v>#N/A</v>
      </c>
      <c r="AM34" s="94" t="e">
        <f t="shared" si="23"/>
        <v>#N/A</v>
      </c>
      <c r="AN34" s="94" t="e">
        <f t="shared" si="24"/>
        <v>#N/A</v>
      </c>
      <c r="AO34" s="95">
        <f t="shared" si="25"/>
        <v>0</v>
      </c>
      <c r="AP34" s="126" t="e">
        <f t="shared" si="26"/>
        <v>#N/A</v>
      </c>
      <c r="AQ34" s="126" t="e">
        <f t="shared" si="27"/>
        <v>#N/A</v>
      </c>
      <c r="AR34" s="126" t="e">
        <f t="shared" si="28"/>
        <v>#N/A</v>
      </c>
      <c r="AS34" s="126" t="e">
        <f t="shared" si="29"/>
        <v>#N/A</v>
      </c>
      <c r="AT34" s="126">
        <v>0</v>
      </c>
      <c r="AU34" s="126"/>
      <c r="AV34" s="126"/>
      <c r="AW34" s="126"/>
      <c r="AX34" s="126"/>
      <c r="AY34" s="126">
        <f t="shared" si="30"/>
        <v>0</v>
      </c>
      <c r="AZ34" s="127"/>
      <c r="BA34" s="127"/>
      <c r="BC34" s="27" t="e">
        <f t="shared" si="31"/>
        <v>#N/A</v>
      </c>
      <c r="BD34" s="27" t="e">
        <f t="shared" si="32"/>
        <v>#N/A</v>
      </c>
      <c r="BE34" s="27"/>
      <c r="BF34" s="27">
        <f t="shared" si="33"/>
        <v>0</v>
      </c>
      <c r="BG34" s="27"/>
      <c r="BH34" s="27" t="e">
        <f t="shared" si="34"/>
        <v>#N/A</v>
      </c>
      <c r="BI34" s="27" t="e">
        <f t="shared" si="35"/>
        <v>#N/A</v>
      </c>
      <c r="BJ34" s="27" t="e">
        <f t="shared" si="36"/>
        <v>#N/A</v>
      </c>
      <c r="BK34" s="27"/>
      <c r="BL34" s="27"/>
      <c r="BM34" s="27" t="e">
        <f t="shared" si="37"/>
        <v>#N/A</v>
      </c>
      <c r="BN34" s="27" t="e">
        <f t="shared" si="38"/>
        <v>#N/A</v>
      </c>
      <c r="BO34" s="27" t="e">
        <f t="shared" si="39"/>
        <v>#N/A</v>
      </c>
      <c r="BP34" s="27"/>
      <c r="BQ34" s="27"/>
    </row>
    <row r="35" spans="1:69" s="2" customFormat="1" x14ac:dyDescent="0.25">
      <c r="A35" s="128"/>
      <c r="B35" s="166"/>
      <c r="C35" s="126"/>
      <c r="D35" s="57" t="e">
        <f>VLOOKUP(G35,[1]!ModTbl,2,0)</f>
        <v>#N/A</v>
      </c>
      <c r="E35" s="57" t="e">
        <f>VLOOKUP(G35,[1]!ModTbl,3,0)</f>
        <v>#N/A</v>
      </c>
      <c r="F35" s="57" t="e">
        <f>VLOOKUP(G35,[1]!ModTbl,4,0)</f>
        <v>#N/A</v>
      </c>
      <c r="G35" s="25"/>
      <c r="H35" s="128"/>
      <c r="I35" s="128"/>
      <c r="J35" s="58" t="e">
        <f>VLOOKUP(G35,[1]!ModTbl,8,0)</f>
        <v>#N/A</v>
      </c>
      <c r="K35" s="58" t="e">
        <f>VLOOKUP(G35,[1]!ModTbl,9,0)</f>
        <v>#N/A</v>
      </c>
      <c r="L35" s="58" t="e">
        <f>VLOOKUP(G35,[1]!ModTbl,10,0)</f>
        <v>#N/A</v>
      </c>
      <c r="M35" s="58">
        <v>0</v>
      </c>
      <c r="N35" s="126" t="e">
        <f t="shared" si="4"/>
        <v>#N/A</v>
      </c>
      <c r="O35" s="126" t="e">
        <f t="shared" si="5"/>
        <v>#N/A</v>
      </c>
      <c r="P35" s="126" t="e">
        <f t="shared" si="6"/>
        <v>#N/A</v>
      </c>
      <c r="Q35" s="126" t="e">
        <f t="shared" si="7"/>
        <v>#N/A</v>
      </c>
      <c r="R35" s="126" t="e">
        <f t="shared" si="8"/>
        <v>#N/A</v>
      </c>
      <c r="S35" s="126" t="e">
        <f t="shared" si="9"/>
        <v>#N/A</v>
      </c>
      <c r="T35" s="126" t="e">
        <f t="shared" si="10"/>
        <v>#N/A</v>
      </c>
      <c r="U35" s="94" t="e">
        <f t="shared" si="11"/>
        <v>#N/A</v>
      </c>
      <c r="V35" s="94" t="e">
        <f t="shared" si="12"/>
        <v>#N/A</v>
      </c>
      <c r="W35" s="94" t="e">
        <f t="shared" si="13"/>
        <v>#N/A</v>
      </c>
      <c r="X35" s="94" t="e">
        <f t="shared" si="14"/>
        <v>#N/A</v>
      </c>
      <c r="Y35" s="95">
        <f t="shared" si="15"/>
        <v>0</v>
      </c>
      <c r="Z35" s="126" t="e">
        <f t="shared" si="16"/>
        <v>#N/A</v>
      </c>
      <c r="AA35" s="126" t="e">
        <f t="shared" si="17"/>
        <v>#N/A</v>
      </c>
      <c r="AB35" s="126" t="e">
        <f t="shared" si="18"/>
        <v>#N/A</v>
      </c>
      <c r="AC35" s="126" t="e">
        <f t="shared" si="19"/>
        <v>#N/A</v>
      </c>
      <c r="AD35" s="126"/>
      <c r="AE35" s="126"/>
      <c r="AF35" s="126"/>
      <c r="AG35" s="126"/>
      <c r="AH35" s="126"/>
      <c r="AI35" s="126">
        <f t="shared" si="20"/>
        <v>0</v>
      </c>
      <c r="AJ35" s="126"/>
      <c r="AK35" s="94" t="e">
        <f t="shared" si="21"/>
        <v>#N/A</v>
      </c>
      <c r="AL35" s="94" t="e">
        <f t="shared" si="22"/>
        <v>#N/A</v>
      </c>
      <c r="AM35" s="94" t="e">
        <f t="shared" si="23"/>
        <v>#N/A</v>
      </c>
      <c r="AN35" s="94" t="e">
        <f t="shared" si="24"/>
        <v>#N/A</v>
      </c>
      <c r="AO35" s="95">
        <f t="shared" si="25"/>
        <v>0</v>
      </c>
      <c r="AP35" s="126" t="e">
        <f t="shared" si="26"/>
        <v>#N/A</v>
      </c>
      <c r="AQ35" s="126" t="e">
        <f t="shared" si="27"/>
        <v>#N/A</v>
      </c>
      <c r="AR35" s="126" t="e">
        <f t="shared" si="28"/>
        <v>#N/A</v>
      </c>
      <c r="AS35" s="126" t="e">
        <f t="shared" si="29"/>
        <v>#N/A</v>
      </c>
      <c r="AT35" s="126">
        <v>0</v>
      </c>
      <c r="AU35" s="126"/>
      <c r="AV35" s="126"/>
      <c r="AW35" s="126"/>
      <c r="AX35" s="126"/>
      <c r="AY35" s="126">
        <f t="shared" si="30"/>
        <v>0</v>
      </c>
      <c r="AZ35" s="127"/>
      <c r="BA35" s="127"/>
      <c r="BC35" s="27" t="e">
        <f t="shared" si="31"/>
        <v>#N/A</v>
      </c>
      <c r="BD35" s="27" t="e">
        <f t="shared" si="32"/>
        <v>#N/A</v>
      </c>
      <c r="BE35" s="27"/>
      <c r="BF35" s="27">
        <f t="shared" si="33"/>
        <v>0</v>
      </c>
      <c r="BG35" s="27"/>
      <c r="BH35" s="27" t="e">
        <f t="shared" si="34"/>
        <v>#N/A</v>
      </c>
      <c r="BI35" s="27" t="e">
        <f t="shared" si="35"/>
        <v>#N/A</v>
      </c>
      <c r="BJ35" s="27" t="e">
        <f t="shared" si="36"/>
        <v>#N/A</v>
      </c>
      <c r="BK35" s="27"/>
      <c r="BL35" s="27"/>
      <c r="BM35" s="27" t="e">
        <f t="shared" si="37"/>
        <v>#N/A</v>
      </c>
      <c r="BN35" s="27" t="e">
        <f t="shared" si="38"/>
        <v>#N/A</v>
      </c>
      <c r="BO35" s="27" t="e">
        <f t="shared" si="39"/>
        <v>#N/A</v>
      </c>
      <c r="BP35" s="27"/>
      <c r="BQ35" s="27"/>
    </row>
    <row r="36" spans="1:69" s="2" customFormat="1" x14ac:dyDescent="0.25">
      <c r="A36" s="128"/>
      <c r="B36" s="166"/>
      <c r="C36" s="144"/>
      <c r="D36" s="138" t="e">
        <f>VLOOKUP(G36,[1]!ModTbl,2,0)</f>
        <v>#N/A</v>
      </c>
      <c r="E36" s="138" t="e">
        <f>VLOOKUP(G36,[1]!ModTbl,3,0)</f>
        <v>#N/A</v>
      </c>
      <c r="F36" s="138" t="e">
        <f>VLOOKUP(G36,[1]!ModTbl,4,0)</f>
        <v>#N/A</v>
      </c>
      <c r="G36" s="145"/>
      <c r="H36" s="128"/>
      <c r="I36" s="128"/>
      <c r="J36" s="58" t="e">
        <f>VLOOKUP(G36,[1]!ModTbl,8,0)</f>
        <v>#N/A</v>
      </c>
      <c r="K36" s="58" t="e">
        <f>VLOOKUP(G36,[1]!ModTbl,9,0)</f>
        <v>#N/A</v>
      </c>
      <c r="L36" s="58" t="e">
        <f>VLOOKUP(G36,[1]!ModTbl,10,0)</f>
        <v>#N/A</v>
      </c>
      <c r="M36" s="58">
        <v>0</v>
      </c>
      <c r="N36" s="126" t="e">
        <f t="shared" si="4"/>
        <v>#N/A</v>
      </c>
      <c r="O36" s="126" t="e">
        <f t="shared" si="5"/>
        <v>#N/A</v>
      </c>
      <c r="P36" s="126" t="e">
        <f t="shared" si="6"/>
        <v>#N/A</v>
      </c>
      <c r="Q36" s="126" t="e">
        <f t="shared" si="7"/>
        <v>#N/A</v>
      </c>
      <c r="R36" s="126" t="e">
        <f t="shared" si="8"/>
        <v>#N/A</v>
      </c>
      <c r="S36" s="126" t="e">
        <f t="shared" si="9"/>
        <v>#N/A</v>
      </c>
      <c r="T36" s="126" t="e">
        <f t="shared" si="10"/>
        <v>#N/A</v>
      </c>
      <c r="U36" s="94" t="e">
        <f t="shared" si="11"/>
        <v>#N/A</v>
      </c>
      <c r="V36" s="94" t="e">
        <f t="shared" si="12"/>
        <v>#N/A</v>
      </c>
      <c r="W36" s="94" t="e">
        <f t="shared" si="13"/>
        <v>#N/A</v>
      </c>
      <c r="X36" s="94" t="e">
        <f t="shared" si="14"/>
        <v>#N/A</v>
      </c>
      <c r="Y36" s="95">
        <f t="shared" si="15"/>
        <v>0</v>
      </c>
      <c r="Z36" s="126" t="e">
        <f t="shared" si="16"/>
        <v>#N/A</v>
      </c>
      <c r="AA36" s="126" t="e">
        <f t="shared" si="17"/>
        <v>#N/A</v>
      </c>
      <c r="AB36" s="126" t="e">
        <f t="shared" si="18"/>
        <v>#N/A</v>
      </c>
      <c r="AC36" s="126" t="e">
        <f t="shared" si="19"/>
        <v>#N/A</v>
      </c>
      <c r="AD36" s="126"/>
      <c r="AE36" s="126"/>
      <c r="AF36" s="126"/>
      <c r="AG36" s="126"/>
      <c r="AH36" s="126"/>
      <c r="AI36" s="126">
        <f t="shared" si="20"/>
        <v>0</v>
      </c>
      <c r="AJ36" s="126"/>
      <c r="AK36" s="94" t="e">
        <f t="shared" si="21"/>
        <v>#N/A</v>
      </c>
      <c r="AL36" s="94" t="e">
        <f t="shared" si="22"/>
        <v>#N/A</v>
      </c>
      <c r="AM36" s="94" t="e">
        <f t="shared" si="23"/>
        <v>#N/A</v>
      </c>
      <c r="AN36" s="94" t="e">
        <f t="shared" si="24"/>
        <v>#N/A</v>
      </c>
      <c r="AO36" s="95">
        <f t="shared" si="25"/>
        <v>0</v>
      </c>
      <c r="AP36" s="126" t="e">
        <f t="shared" si="26"/>
        <v>#N/A</v>
      </c>
      <c r="AQ36" s="126" t="e">
        <f t="shared" si="27"/>
        <v>#N/A</v>
      </c>
      <c r="AR36" s="126" t="e">
        <f t="shared" si="28"/>
        <v>#N/A</v>
      </c>
      <c r="AS36" s="126" t="e">
        <f t="shared" si="29"/>
        <v>#N/A</v>
      </c>
      <c r="AT36" s="126">
        <v>0</v>
      </c>
      <c r="AU36" s="126"/>
      <c r="AV36" s="126"/>
      <c r="AW36" s="126"/>
      <c r="AX36" s="126"/>
      <c r="AY36" s="126">
        <f t="shared" si="30"/>
        <v>0</v>
      </c>
      <c r="AZ36" s="127"/>
      <c r="BA36" s="127"/>
      <c r="BC36" s="27" t="e">
        <f t="shared" si="31"/>
        <v>#N/A</v>
      </c>
      <c r="BD36" s="27" t="e">
        <f t="shared" si="32"/>
        <v>#N/A</v>
      </c>
      <c r="BE36" s="27"/>
      <c r="BF36" s="27">
        <f t="shared" si="33"/>
        <v>0</v>
      </c>
      <c r="BG36" s="27"/>
      <c r="BH36" s="27" t="e">
        <f t="shared" si="34"/>
        <v>#N/A</v>
      </c>
      <c r="BI36" s="27" t="e">
        <f t="shared" si="35"/>
        <v>#N/A</v>
      </c>
      <c r="BJ36" s="27" t="e">
        <f t="shared" si="36"/>
        <v>#N/A</v>
      </c>
      <c r="BK36" s="27"/>
      <c r="BL36" s="27"/>
      <c r="BM36" s="27" t="e">
        <f t="shared" si="37"/>
        <v>#N/A</v>
      </c>
      <c r="BN36" s="27" t="e">
        <f t="shared" si="38"/>
        <v>#N/A</v>
      </c>
      <c r="BO36" s="27" t="e">
        <f t="shared" si="39"/>
        <v>#N/A</v>
      </c>
      <c r="BP36" s="27"/>
      <c r="BQ36" s="27"/>
    </row>
    <row r="37" spans="1:69" s="2" customFormat="1" x14ac:dyDescent="0.25">
      <c r="A37" s="128"/>
      <c r="B37" s="166"/>
      <c r="C37" s="144"/>
      <c r="D37" s="138" t="e">
        <f>VLOOKUP(G37,[1]!ModTbl,2,0)</f>
        <v>#N/A</v>
      </c>
      <c r="E37" s="138" t="e">
        <f>VLOOKUP(G37,[1]!ModTbl,3,0)</f>
        <v>#N/A</v>
      </c>
      <c r="F37" s="138" t="e">
        <f>VLOOKUP(G37,[1]!ModTbl,4,0)</f>
        <v>#N/A</v>
      </c>
      <c r="G37" s="145"/>
      <c r="H37" s="128"/>
      <c r="I37" s="128"/>
      <c r="J37" s="58" t="e">
        <f>VLOOKUP(G37,[1]!ModTbl,8,0)</f>
        <v>#N/A</v>
      </c>
      <c r="K37" s="58" t="e">
        <f>VLOOKUP(G37,[1]!ModTbl,9,0)</f>
        <v>#N/A</v>
      </c>
      <c r="L37" s="58" t="e">
        <f>VLOOKUP(G37,[1]!ModTbl,10,0)</f>
        <v>#N/A</v>
      </c>
      <c r="M37" s="58">
        <v>0</v>
      </c>
      <c r="N37" s="126" t="e">
        <f t="shared" si="4"/>
        <v>#N/A</v>
      </c>
      <c r="O37" s="126" t="e">
        <f t="shared" si="5"/>
        <v>#N/A</v>
      </c>
      <c r="P37" s="126" t="e">
        <f t="shared" si="6"/>
        <v>#N/A</v>
      </c>
      <c r="Q37" s="126" t="e">
        <f t="shared" si="7"/>
        <v>#N/A</v>
      </c>
      <c r="R37" s="126" t="e">
        <f t="shared" si="8"/>
        <v>#N/A</v>
      </c>
      <c r="S37" s="126" t="e">
        <f t="shared" si="9"/>
        <v>#N/A</v>
      </c>
      <c r="T37" s="126" t="e">
        <f t="shared" si="10"/>
        <v>#N/A</v>
      </c>
      <c r="U37" s="94" t="e">
        <f t="shared" si="11"/>
        <v>#N/A</v>
      </c>
      <c r="V37" s="94" t="e">
        <f t="shared" si="12"/>
        <v>#N/A</v>
      </c>
      <c r="W37" s="94" t="e">
        <f t="shared" si="13"/>
        <v>#N/A</v>
      </c>
      <c r="X37" s="94" t="e">
        <f t="shared" si="14"/>
        <v>#N/A</v>
      </c>
      <c r="Y37" s="95">
        <f t="shared" si="15"/>
        <v>0</v>
      </c>
      <c r="Z37" s="126" t="e">
        <f t="shared" si="16"/>
        <v>#N/A</v>
      </c>
      <c r="AA37" s="126" t="e">
        <f t="shared" si="17"/>
        <v>#N/A</v>
      </c>
      <c r="AB37" s="126" t="e">
        <f t="shared" si="18"/>
        <v>#N/A</v>
      </c>
      <c r="AC37" s="126" t="e">
        <f t="shared" si="19"/>
        <v>#N/A</v>
      </c>
      <c r="AD37" s="126"/>
      <c r="AE37" s="126"/>
      <c r="AF37" s="126"/>
      <c r="AG37" s="126"/>
      <c r="AH37" s="126"/>
      <c r="AI37" s="126">
        <f t="shared" si="20"/>
        <v>0</v>
      </c>
      <c r="AJ37" s="126"/>
      <c r="AK37" s="94" t="e">
        <f t="shared" si="21"/>
        <v>#N/A</v>
      </c>
      <c r="AL37" s="94" t="e">
        <f t="shared" si="22"/>
        <v>#N/A</v>
      </c>
      <c r="AM37" s="94" t="e">
        <f t="shared" si="23"/>
        <v>#N/A</v>
      </c>
      <c r="AN37" s="94" t="e">
        <f t="shared" si="24"/>
        <v>#N/A</v>
      </c>
      <c r="AO37" s="95">
        <f t="shared" si="25"/>
        <v>0</v>
      </c>
      <c r="AP37" s="126" t="e">
        <f t="shared" si="26"/>
        <v>#N/A</v>
      </c>
      <c r="AQ37" s="126" t="e">
        <f t="shared" si="27"/>
        <v>#N/A</v>
      </c>
      <c r="AR37" s="126" t="e">
        <f t="shared" si="28"/>
        <v>#N/A</v>
      </c>
      <c r="AS37" s="126" t="e">
        <f t="shared" si="29"/>
        <v>#N/A</v>
      </c>
      <c r="AT37" s="126">
        <v>0</v>
      </c>
      <c r="AU37" s="126"/>
      <c r="AV37" s="126"/>
      <c r="AW37" s="126"/>
      <c r="AX37" s="126"/>
      <c r="AY37" s="126">
        <f t="shared" si="30"/>
        <v>0</v>
      </c>
      <c r="AZ37" s="127"/>
      <c r="BA37" s="127"/>
      <c r="BC37" s="27" t="e">
        <f t="shared" si="31"/>
        <v>#N/A</v>
      </c>
      <c r="BD37" s="27" t="e">
        <f t="shared" si="32"/>
        <v>#N/A</v>
      </c>
      <c r="BE37" s="27"/>
      <c r="BF37" s="27">
        <f t="shared" si="33"/>
        <v>0</v>
      </c>
      <c r="BG37" s="27"/>
      <c r="BH37" s="27" t="e">
        <f t="shared" si="34"/>
        <v>#N/A</v>
      </c>
      <c r="BI37" s="27" t="e">
        <f t="shared" si="35"/>
        <v>#N/A</v>
      </c>
      <c r="BJ37" s="27" t="e">
        <f t="shared" si="36"/>
        <v>#N/A</v>
      </c>
      <c r="BK37" s="27"/>
      <c r="BL37" s="27"/>
      <c r="BM37" s="27" t="e">
        <f t="shared" si="37"/>
        <v>#N/A</v>
      </c>
      <c r="BN37" s="27" t="e">
        <f t="shared" si="38"/>
        <v>#N/A</v>
      </c>
      <c r="BO37" s="27" t="e">
        <f t="shared" si="39"/>
        <v>#N/A</v>
      </c>
      <c r="BP37" s="27"/>
      <c r="BQ37" s="27"/>
    </row>
    <row r="38" spans="1:69" s="182" customFormat="1" x14ac:dyDescent="0.25">
      <c r="A38" s="128"/>
      <c r="B38" s="166"/>
      <c r="C38" s="144"/>
      <c r="D38" s="138" t="e">
        <f>VLOOKUP(G38,[1]!ModTbl,2,0)</f>
        <v>#N/A</v>
      </c>
      <c r="E38" s="138" t="e">
        <f>VLOOKUP(G38,[1]!ModTbl,3,0)</f>
        <v>#N/A</v>
      </c>
      <c r="F38" s="138" t="e">
        <f>VLOOKUP(G38,[1]!ModTbl,4,0)</f>
        <v>#N/A</v>
      </c>
      <c r="G38" s="145"/>
      <c r="H38" s="128"/>
      <c r="I38" s="128"/>
      <c r="J38" s="58" t="e">
        <f>VLOOKUP(G38,[1]!ModTbl,8,0)</f>
        <v>#N/A</v>
      </c>
      <c r="K38" s="58" t="e">
        <f>VLOOKUP(G38,[1]!ModTbl,9,0)</f>
        <v>#N/A</v>
      </c>
      <c r="L38" s="58" t="e">
        <f>VLOOKUP(G38,[1]!ModTbl,10,0)</f>
        <v>#N/A</v>
      </c>
      <c r="M38" s="58">
        <v>0</v>
      </c>
      <c r="N38" s="126" t="e">
        <f t="shared" si="4"/>
        <v>#N/A</v>
      </c>
      <c r="O38" s="126" t="e">
        <f t="shared" si="5"/>
        <v>#N/A</v>
      </c>
      <c r="P38" s="126" t="e">
        <f t="shared" si="6"/>
        <v>#N/A</v>
      </c>
      <c r="Q38" s="126" t="e">
        <f t="shared" si="7"/>
        <v>#N/A</v>
      </c>
      <c r="R38" s="126" t="e">
        <f t="shared" si="8"/>
        <v>#N/A</v>
      </c>
      <c r="S38" s="126" t="e">
        <f t="shared" si="9"/>
        <v>#N/A</v>
      </c>
      <c r="T38" s="126" t="e">
        <f t="shared" si="10"/>
        <v>#N/A</v>
      </c>
      <c r="U38" s="94" t="e">
        <f t="shared" si="11"/>
        <v>#N/A</v>
      </c>
      <c r="V38" s="94" t="e">
        <f t="shared" si="12"/>
        <v>#N/A</v>
      </c>
      <c r="W38" s="94" t="e">
        <f t="shared" si="13"/>
        <v>#N/A</v>
      </c>
      <c r="X38" s="94" t="e">
        <f t="shared" si="14"/>
        <v>#N/A</v>
      </c>
      <c r="Y38" s="95">
        <f t="shared" si="15"/>
        <v>0</v>
      </c>
      <c r="Z38" s="126" t="e">
        <f t="shared" si="16"/>
        <v>#N/A</v>
      </c>
      <c r="AA38" s="126" t="e">
        <f t="shared" si="17"/>
        <v>#N/A</v>
      </c>
      <c r="AB38" s="126" t="e">
        <f t="shared" si="18"/>
        <v>#N/A</v>
      </c>
      <c r="AC38" s="126" t="e">
        <f t="shared" si="19"/>
        <v>#N/A</v>
      </c>
      <c r="AD38" s="126"/>
      <c r="AE38" s="126"/>
      <c r="AF38" s="126"/>
      <c r="AG38" s="126"/>
      <c r="AH38" s="126"/>
      <c r="AI38" s="126">
        <f t="shared" si="20"/>
        <v>0</v>
      </c>
      <c r="AJ38" s="126"/>
      <c r="AK38" s="94" t="e">
        <f t="shared" si="21"/>
        <v>#N/A</v>
      </c>
      <c r="AL38" s="94" t="e">
        <f t="shared" si="22"/>
        <v>#N/A</v>
      </c>
      <c r="AM38" s="94" t="e">
        <f t="shared" si="23"/>
        <v>#N/A</v>
      </c>
      <c r="AN38" s="94" t="e">
        <f t="shared" si="24"/>
        <v>#N/A</v>
      </c>
      <c r="AO38" s="95">
        <f t="shared" si="25"/>
        <v>0</v>
      </c>
      <c r="AP38" s="126" t="e">
        <f t="shared" si="26"/>
        <v>#N/A</v>
      </c>
      <c r="AQ38" s="126" t="e">
        <f t="shared" si="27"/>
        <v>#N/A</v>
      </c>
      <c r="AR38" s="126" t="e">
        <f t="shared" si="28"/>
        <v>#N/A</v>
      </c>
      <c r="AS38" s="126" t="e">
        <f t="shared" si="29"/>
        <v>#N/A</v>
      </c>
      <c r="AT38" s="126">
        <v>0</v>
      </c>
      <c r="AU38" s="126"/>
      <c r="AV38" s="126"/>
      <c r="AW38" s="126"/>
      <c r="AX38" s="126"/>
      <c r="AY38" s="126">
        <f t="shared" si="30"/>
        <v>0</v>
      </c>
      <c r="AZ38" s="127"/>
      <c r="BA38" s="127"/>
      <c r="BB38" s="2"/>
      <c r="BC38" s="27" t="e">
        <f t="shared" si="31"/>
        <v>#N/A</v>
      </c>
      <c r="BD38" s="27" t="e">
        <f t="shared" si="32"/>
        <v>#N/A</v>
      </c>
      <c r="BE38" s="27"/>
      <c r="BF38" s="27">
        <f t="shared" si="33"/>
        <v>0</v>
      </c>
      <c r="BG38" s="27"/>
      <c r="BH38" s="27" t="e">
        <f t="shared" si="34"/>
        <v>#N/A</v>
      </c>
      <c r="BI38" s="27" t="e">
        <f t="shared" si="35"/>
        <v>#N/A</v>
      </c>
      <c r="BJ38" s="27" t="e">
        <f t="shared" si="36"/>
        <v>#N/A</v>
      </c>
      <c r="BK38" s="27"/>
      <c r="BL38" s="27"/>
      <c r="BM38" s="27" t="e">
        <f t="shared" si="37"/>
        <v>#N/A</v>
      </c>
      <c r="BN38" s="27" t="e">
        <f t="shared" si="38"/>
        <v>#N/A</v>
      </c>
      <c r="BO38" s="27" t="e">
        <f t="shared" si="39"/>
        <v>#N/A</v>
      </c>
      <c r="BP38" s="27"/>
      <c r="BQ38" s="27"/>
    </row>
    <row r="39" spans="1:69" s="182" customFormat="1" x14ac:dyDescent="0.25">
      <c r="A39" s="128"/>
      <c r="B39" s="166"/>
      <c r="C39" s="126"/>
      <c r="D39" s="57" t="e">
        <f>VLOOKUP(G39,[1]!ModTbl,2,0)</f>
        <v>#N/A</v>
      </c>
      <c r="E39" s="57" t="e">
        <f>VLOOKUP(G39,[1]!ModTbl,3,0)</f>
        <v>#N/A</v>
      </c>
      <c r="F39" s="57" t="e">
        <f>VLOOKUP(G39,[1]!ModTbl,4,0)</f>
        <v>#N/A</v>
      </c>
      <c r="G39" s="25"/>
      <c r="H39" s="128"/>
      <c r="I39" s="128"/>
      <c r="J39" s="58" t="e">
        <f>VLOOKUP(G39,[1]!ModTbl,8,0)</f>
        <v>#N/A</v>
      </c>
      <c r="K39" s="58" t="e">
        <f>VLOOKUP(G39,[1]!ModTbl,9,0)</f>
        <v>#N/A</v>
      </c>
      <c r="L39" s="58" t="e">
        <f>VLOOKUP(G39,[1]!ModTbl,10,0)</f>
        <v>#N/A</v>
      </c>
      <c r="M39" s="58">
        <v>0</v>
      </c>
      <c r="N39" s="126" t="e">
        <f t="shared" si="4"/>
        <v>#N/A</v>
      </c>
      <c r="O39" s="126" t="e">
        <f t="shared" si="5"/>
        <v>#N/A</v>
      </c>
      <c r="P39" s="126" t="e">
        <f t="shared" si="6"/>
        <v>#N/A</v>
      </c>
      <c r="Q39" s="126" t="e">
        <f t="shared" si="7"/>
        <v>#N/A</v>
      </c>
      <c r="R39" s="126" t="e">
        <f t="shared" si="8"/>
        <v>#N/A</v>
      </c>
      <c r="S39" s="126" t="e">
        <f t="shared" si="9"/>
        <v>#N/A</v>
      </c>
      <c r="T39" s="126" t="e">
        <f t="shared" si="10"/>
        <v>#N/A</v>
      </c>
      <c r="U39" s="94" t="e">
        <f t="shared" si="11"/>
        <v>#N/A</v>
      </c>
      <c r="V39" s="94" t="e">
        <f t="shared" si="12"/>
        <v>#N/A</v>
      </c>
      <c r="W39" s="94" t="e">
        <f t="shared" si="13"/>
        <v>#N/A</v>
      </c>
      <c r="X39" s="94" t="e">
        <f t="shared" si="14"/>
        <v>#N/A</v>
      </c>
      <c r="Y39" s="95">
        <f t="shared" si="15"/>
        <v>0</v>
      </c>
      <c r="Z39" s="126" t="e">
        <f t="shared" si="16"/>
        <v>#N/A</v>
      </c>
      <c r="AA39" s="126" t="e">
        <f t="shared" si="17"/>
        <v>#N/A</v>
      </c>
      <c r="AB39" s="126" t="e">
        <f t="shared" si="18"/>
        <v>#N/A</v>
      </c>
      <c r="AC39" s="126" t="e">
        <f t="shared" si="19"/>
        <v>#N/A</v>
      </c>
      <c r="AD39" s="126"/>
      <c r="AE39" s="126"/>
      <c r="AF39" s="126"/>
      <c r="AG39" s="126"/>
      <c r="AH39" s="126"/>
      <c r="AI39" s="126">
        <f t="shared" si="20"/>
        <v>0</v>
      </c>
      <c r="AJ39" s="126"/>
      <c r="AK39" s="94" t="e">
        <f t="shared" si="21"/>
        <v>#N/A</v>
      </c>
      <c r="AL39" s="94" t="e">
        <f t="shared" si="22"/>
        <v>#N/A</v>
      </c>
      <c r="AM39" s="94" t="e">
        <f t="shared" si="23"/>
        <v>#N/A</v>
      </c>
      <c r="AN39" s="94" t="e">
        <f t="shared" si="24"/>
        <v>#N/A</v>
      </c>
      <c r="AO39" s="95">
        <f t="shared" si="25"/>
        <v>0</v>
      </c>
      <c r="AP39" s="126" t="e">
        <f t="shared" si="26"/>
        <v>#N/A</v>
      </c>
      <c r="AQ39" s="126" t="e">
        <f t="shared" si="27"/>
        <v>#N/A</v>
      </c>
      <c r="AR39" s="126" t="e">
        <f t="shared" si="28"/>
        <v>#N/A</v>
      </c>
      <c r="AS39" s="126" t="e">
        <f t="shared" si="29"/>
        <v>#N/A</v>
      </c>
      <c r="AT39" s="126">
        <v>0</v>
      </c>
      <c r="AU39" s="126"/>
      <c r="AV39" s="126"/>
      <c r="AW39" s="126"/>
      <c r="AX39" s="126"/>
      <c r="AY39" s="126">
        <f t="shared" si="30"/>
        <v>0</v>
      </c>
      <c r="AZ39" s="127"/>
      <c r="BA39" s="127"/>
      <c r="BB39" s="2"/>
      <c r="BC39" s="27" t="e">
        <f t="shared" si="31"/>
        <v>#N/A</v>
      </c>
      <c r="BD39" s="27" t="e">
        <f t="shared" si="32"/>
        <v>#N/A</v>
      </c>
      <c r="BE39" s="27"/>
      <c r="BF39" s="27">
        <f t="shared" si="33"/>
        <v>0</v>
      </c>
      <c r="BG39" s="27"/>
      <c r="BH39" s="27" t="e">
        <f t="shared" si="34"/>
        <v>#N/A</v>
      </c>
      <c r="BI39" s="27" t="e">
        <f t="shared" si="35"/>
        <v>#N/A</v>
      </c>
      <c r="BJ39" s="27" t="e">
        <f t="shared" si="36"/>
        <v>#N/A</v>
      </c>
      <c r="BK39" s="27"/>
      <c r="BL39" s="27"/>
      <c r="BM39" s="27" t="e">
        <f t="shared" si="37"/>
        <v>#N/A</v>
      </c>
      <c r="BN39" s="27" t="e">
        <f t="shared" si="38"/>
        <v>#N/A</v>
      </c>
      <c r="BO39" s="27" t="e">
        <f t="shared" si="39"/>
        <v>#N/A</v>
      </c>
      <c r="BP39" s="27"/>
      <c r="BQ39" s="27"/>
    </row>
    <row r="40" spans="1:69" s="182" customFormat="1" x14ac:dyDescent="0.25">
      <c r="A40" s="128"/>
      <c r="B40" s="166"/>
      <c r="C40" s="126"/>
      <c r="D40" s="57" t="e">
        <f>VLOOKUP(G40,[1]!ModTbl,2,0)</f>
        <v>#N/A</v>
      </c>
      <c r="E40" s="57" t="e">
        <f>VLOOKUP(G40,[1]!ModTbl,3,0)</f>
        <v>#N/A</v>
      </c>
      <c r="F40" s="57" t="e">
        <f>VLOOKUP(G40,[1]!ModTbl,4,0)</f>
        <v>#N/A</v>
      </c>
      <c r="G40" s="25"/>
      <c r="H40" s="128"/>
      <c r="I40" s="128"/>
      <c r="J40" s="58" t="e">
        <f>VLOOKUP(G40,[1]!ModTbl,8,0)</f>
        <v>#N/A</v>
      </c>
      <c r="K40" s="58" t="e">
        <f>VLOOKUP(G40,[1]!ModTbl,9,0)</f>
        <v>#N/A</v>
      </c>
      <c r="L40" s="58" t="e">
        <f>VLOOKUP(G40,[1]!ModTbl,10,0)</f>
        <v>#N/A</v>
      </c>
      <c r="M40" s="58">
        <v>0</v>
      </c>
      <c r="N40" s="126" t="e">
        <f t="shared" si="4"/>
        <v>#N/A</v>
      </c>
      <c r="O40" s="126" t="e">
        <f t="shared" si="5"/>
        <v>#N/A</v>
      </c>
      <c r="P40" s="126" t="e">
        <f t="shared" si="6"/>
        <v>#N/A</v>
      </c>
      <c r="Q40" s="126" t="e">
        <f t="shared" si="7"/>
        <v>#N/A</v>
      </c>
      <c r="R40" s="126" t="e">
        <f t="shared" si="8"/>
        <v>#N/A</v>
      </c>
      <c r="S40" s="126" t="e">
        <f t="shared" si="9"/>
        <v>#N/A</v>
      </c>
      <c r="T40" s="126" t="e">
        <f t="shared" si="10"/>
        <v>#N/A</v>
      </c>
      <c r="U40" s="94" t="e">
        <f t="shared" si="11"/>
        <v>#N/A</v>
      </c>
      <c r="V40" s="94" t="e">
        <f t="shared" si="12"/>
        <v>#N/A</v>
      </c>
      <c r="W40" s="94" t="e">
        <f t="shared" si="13"/>
        <v>#N/A</v>
      </c>
      <c r="X40" s="94" t="e">
        <f t="shared" si="14"/>
        <v>#N/A</v>
      </c>
      <c r="Y40" s="95">
        <f t="shared" si="15"/>
        <v>0</v>
      </c>
      <c r="Z40" s="126" t="e">
        <f t="shared" si="16"/>
        <v>#N/A</v>
      </c>
      <c r="AA40" s="126" t="e">
        <f t="shared" si="17"/>
        <v>#N/A</v>
      </c>
      <c r="AB40" s="126" t="e">
        <f t="shared" si="18"/>
        <v>#N/A</v>
      </c>
      <c r="AC40" s="126" t="e">
        <f t="shared" si="19"/>
        <v>#N/A</v>
      </c>
      <c r="AD40" s="126"/>
      <c r="AE40" s="126"/>
      <c r="AF40" s="126"/>
      <c r="AG40" s="126"/>
      <c r="AH40" s="126"/>
      <c r="AI40" s="126">
        <f t="shared" si="20"/>
        <v>0</v>
      </c>
      <c r="AJ40" s="126"/>
      <c r="AK40" s="94" t="e">
        <f t="shared" si="21"/>
        <v>#N/A</v>
      </c>
      <c r="AL40" s="94" t="e">
        <f t="shared" si="22"/>
        <v>#N/A</v>
      </c>
      <c r="AM40" s="94" t="e">
        <f t="shared" si="23"/>
        <v>#N/A</v>
      </c>
      <c r="AN40" s="94" t="e">
        <f t="shared" si="24"/>
        <v>#N/A</v>
      </c>
      <c r="AO40" s="95">
        <f t="shared" si="25"/>
        <v>0</v>
      </c>
      <c r="AP40" s="126" t="e">
        <f t="shared" si="26"/>
        <v>#N/A</v>
      </c>
      <c r="AQ40" s="126" t="e">
        <f t="shared" si="27"/>
        <v>#N/A</v>
      </c>
      <c r="AR40" s="126" t="e">
        <f t="shared" si="28"/>
        <v>#N/A</v>
      </c>
      <c r="AS40" s="126" t="e">
        <f t="shared" si="29"/>
        <v>#N/A</v>
      </c>
      <c r="AT40" s="126">
        <v>0</v>
      </c>
      <c r="AU40" s="126"/>
      <c r="AV40" s="126"/>
      <c r="AW40" s="126"/>
      <c r="AX40" s="126"/>
      <c r="AY40" s="126">
        <f t="shared" si="30"/>
        <v>0</v>
      </c>
      <c r="AZ40" s="127"/>
      <c r="BA40" s="127"/>
      <c r="BB40" s="2"/>
      <c r="BC40" s="27" t="e">
        <f t="shared" si="31"/>
        <v>#N/A</v>
      </c>
      <c r="BD40" s="27" t="e">
        <f t="shared" si="32"/>
        <v>#N/A</v>
      </c>
      <c r="BE40" s="27"/>
      <c r="BF40" s="27">
        <f t="shared" si="33"/>
        <v>0</v>
      </c>
      <c r="BG40" s="27"/>
      <c r="BH40" s="27" t="e">
        <f t="shared" si="34"/>
        <v>#N/A</v>
      </c>
      <c r="BI40" s="27" t="e">
        <f t="shared" si="35"/>
        <v>#N/A</v>
      </c>
      <c r="BJ40" s="27" t="e">
        <f t="shared" si="36"/>
        <v>#N/A</v>
      </c>
      <c r="BK40" s="27"/>
      <c r="BL40" s="27"/>
      <c r="BM40" s="27" t="e">
        <f t="shared" si="37"/>
        <v>#N/A</v>
      </c>
      <c r="BN40" s="27" t="e">
        <f t="shared" si="38"/>
        <v>#N/A</v>
      </c>
      <c r="BO40" s="27" t="e">
        <f t="shared" si="39"/>
        <v>#N/A</v>
      </c>
      <c r="BP40" s="27"/>
      <c r="BQ40" s="27"/>
    </row>
    <row r="41" spans="1:69" s="2" customFormat="1" x14ac:dyDescent="0.25">
      <c r="A41" s="128"/>
      <c r="B41" s="166"/>
      <c r="C41" s="126"/>
      <c r="D41" s="57" t="e">
        <f>VLOOKUP(G41,[1]!ModTbl,2,0)</f>
        <v>#N/A</v>
      </c>
      <c r="E41" s="57" t="e">
        <f>VLOOKUP(G41,[1]!ModTbl,3,0)</f>
        <v>#N/A</v>
      </c>
      <c r="F41" s="57" t="e">
        <f>VLOOKUP(G41,[1]!ModTbl,4,0)</f>
        <v>#N/A</v>
      </c>
      <c r="G41" s="25"/>
      <c r="H41" s="128"/>
      <c r="I41" s="128"/>
      <c r="J41" s="58" t="e">
        <f>VLOOKUP(G41,[1]!ModTbl,8,0)</f>
        <v>#N/A</v>
      </c>
      <c r="K41" s="58" t="e">
        <f>VLOOKUP(G41,[1]!ModTbl,9,0)</f>
        <v>#N/A</v>
      </c>
      <c r="L41" s="58" t="e">
        <f>VLOOKUP(G41,[1]!ModTbl,10,0)</f>
        <v>#N/A</v>
      </c>
      <c r="M41" s="58">
        <v>0</v>
      </c>
      <c r="N41" s="126" t="e">
        <f t="shared" si="4"/>
        <v>#N/A</v>
      </c>
      <c r="O41" s="126" t="e">
        <f t="shared" si="5"/>
        <v>#N/A</v>
      </c>
      <c r="P41" s="126" t="e">
        <f t="shared" si="6"/>
        <v>#N/A</v>
      </c>
      <c r="Q41" s="126" t="e">
        <f t="shared" si="7"/>
        <v>#N/A</v>
      </c>
      <c r="R41" s="126" t="e">
        <f t="shared" si="8"/>
        <v>#N/A</v>
      </c>
      <c r="S41" s="126" t="e">
        <f t="shared" si="9"/>
        <v>#N/A</v>
      </c>
      <c r="T41" s="126" t="e">
        <f t="shared" si="10"/>
        <v>#N/A</v>
      </c>
      <c r="U41" s="94" t="e">
        <f t="shared" si="11"/>
        <v>#N/A</v>
      </c>
      <c r="V41" s="94" t="e">
        <f t="shared" si="12"/>
        <v>#N/A</v>
      </c>
      <c r="W41" s="94" t="e">
        <f t="shared" si="13"/>
        <v>#N/A</v>
      </c>
      <c r="X41" s="94" t="e">
        <f t="shared" si="14"/>
        <v>#N/A</v>
      </c>
      <c r="Y41" s="95">
        <f t="shared" si="15"/>
        <v>0</v>
      </c>
      <c r="Z41" s="126" t="e">
        <f t="shared" si="16"/>
        <v>#N/A</v>
      </c>
      <c r="AA41" s="126" t="e">
        <f t="shared" si="17"/>
        <v>#N/A</v>
      </c>
      <c r="AB41" s="126" t="e">
        <f t="shared" si="18"/>
        <v>#N/A</v>
      </c>
      <c r="AC41" s="126" t="e">
        <f t="shared" si="19"/>
        <v>#N/A</v>
      </c>
      <c r="AD41" s="126"/>
      <c r="AE41" s="126"/>
      <c r="AF41" s="126"/>
      <c r="AG41" s="126"/>
      <c r="AH41" s="126"/>
      <c r="AI41" s="126">
        <f t="shared" si="20"/>
        <v>0</v>
      </c>
      <c r="AJ41" s="126"/>
      <c r="AK41" s="94" t="e">
        <f t="shared" si="21"/>
        <v>#N/A</v>
      </c>
      <c r="AL41" s="94" t="e">
        <f t="shared" si="22"/>
        <v>#N/A</v>
      </c>
      <c r="AM41" s="94" t="e">
        <f t="shared" si="23"/>
        <v>#N/A</v>
      </c>
      <c r="AN41" s="94" t="e">
        <f t="shared" si="24"/>
        <v>#N/A</v>
      </c>
      <c r="AO41" s="95">
        <f t="shared" si="25"/>
        <v>0</v>
      </c>
      <c r="AP41" s="126" t="e">
        <f t="shared" si="26"/>
        <v>#N/A</v>
      </c>
      <c r="AQ41" s="126" t="e">
        <f t="shared" si="27"/>
        <v>#N/A</v>
      </c>
      <c r="AR41" s="126" t="e">
        <f t="shared" si="28"/>
        <v>#N/A</v>
      </c>
      <c r="AS41" s="126" t="e">
        <f t="shared" si="29"/>
        <v>#N/A</v>
      </c>
      <c r="AT41" s="126">
        <v>0</v>
      </c>
      <c r="AU41" s="126"/>
      <c r="AV41" s="126"/>
      <c r="AW41" s="126"/>
      <c r="AX41" s="126"/>
      <c r="AY41" s="126">
        <f t="shared" si="30"/>
        <v>0</v>
      </c>
      <c r="AZ41" s="127"/>
      <c r="BA41" s="127"/>
      <c r="BC41" s="27" t="e">
        <f t="shared" si="31"/>
        <v>#N/A</v>
      </c>
      <c r="BD41" s="27" t="e">
        <f t="shared" si="32"/>
        <v>#N/A</v>
      </c>
      <c r="BE41" s="27"/>
      <c r="BF41" s="27">
        <f t="shared" si="33"/>
        <v>0</v>
      </c>
      <c r="BG41" s="27"/>
      <c r="BH41" s="27" t="e">
        <f t="shared" si="34"/>
        <v>#N/A</v>
      </c>
      <c r="BI41" s="27" t="e">
        <f t="shared" si="35"/>
        <v>#N/A</v>
      </c>
      <c r="BJ41" s="27" t="e">
        <f t="shared" si="36"/>
        <v>#N/A</v>
      </c>
      <c r="BK41" s="27"/>
      <c r="BL41" s="27"/>
      <c r="BM41" s="27" t="e">
        <f t="shared" si="37"/>
        <v>#N/A</v>
      </c>
      <c r="BN41" s="27" t="e">
        <f t="shared" si="38"/>
        <v>#N/A</v>
      </c>
      <c r="BO41" s="27" t="e">
        <f t="shared" si="39"/>
        <v>#N/A</v>
      </c>
      <c r="BP41" s="27"/>
      <c r="BQ41" s="27"/>
    </row>
    <row r="42" spans="1:69" s="2" customFormat="1" x14ac:dyDescent="0.25">
      <c r="A42" s="128"/>
      <c r="B42" s="166"/>
      <c r="C42" s="126"/>
      <c r="D42" s="57" t="e">
        <f>VLOOKUP(G42,[1]!ModTbl,2,0)</f>
        <v>#N/A</v>
      </c>
      <c r="E42" s="57" t="e">
        <f>VLOOKUP(G42,[1]!ModTbl,3,0)</f>
        <v>#N/A</v>
      </c>
      <c r="F42" s="57" t="e">
        <f>VLOOKUP(G42,[1]!ModTbl,4,0)</f>
        <v>#N/A</v>
      </c>
      <c r="G42" s="25"/>
      <c r="H42" s="128"/>
      <c r="I42" s="128"/>
      <c r="J42" s="58" t="e">
        <f>VLOOKUP(G42,[1]!ModTbl,8,0)</f>
        <v>#N/A</v>
      </c>
      <c r="K42" s="58" t="e">
        <f>VLOOKUP(G42,[1]!ModTbl,9,0)</f>
        <v>#N/A</v>
      </c>
      <c r="L42" s="58" t="e">
        <f>VLOOKUP(G42,[1]!ModTbl,10,0)</f>
        <v>#N/A</v>
      </c>
      <c r="M42" s="58">
        <v>0</v>
      </c>
      <c r="N42" s="126" t="e">
        <f t="shared" si="4"/>
        <v>#N/A</v>
      </c>
      <c r="O42" s="126" t="e">
        <f t="shared" si="5"/>
        <v>#N/A</v>
      </c>
      <c r="P42" s="126" t="e">
        <f t="shared" si="6"/>
        <v>#N/A</v>
      </c>
      <c r="Q42" s="126" t="e">
        <f t="shared" si="7"/>
        <v>#N/A</v>
      </c>
      <c r="R42" s="126" t="e">
        <f t="shared" si="8"/>
        <v>#N/A</v>
      </c>
      <c r="S42" s="126" t="e">
        <f t="shared" si="9"/>
        <v>#N/A</v>
      </c>
      <c r="T42" s="126" t="e">
        <f t="shared" si="10"/>
        <v>#N/A</v>
      </c>
      <c r="U42" s="94" t="e">
        <f t="shared" si="11"/>
        <v>#N/A</v>
      </c>
      <c r="V42" s="94" t="e">
        <f t="shared" si="12"/>
        <v>#N/A</v>
      </c>
      <c r="W42" s="94" t="e">
        <f t="shared" si="13"/>
        <v>#N/A</v>
      </c>
      <c r="X42" s="94" t="e">
        <f t="shared" si="14"/>
        <v>#N/A</v>
      </c>
      <c r="Y42" s="95">
        <f t="shared" si="15"/>
        <v>0</v>
      </c>
      <c r="Z42" s="126" t="e">
        <f t="shared" si="16"/>
        <v>#N/A</v>
      </c>
      <c r="AA42" s="126" t="e">
        <f t="shared" si="17"/>
        <v>#N/A</v>
      </c>
      <c r="AB42" s="126" t="e">
        <f t="shared" si="18"/>
        <v>#N/A</v>
      </c>
      <c r="AC42" s="126" t="e">
        <f t="shared" si="19"/>
        <v>#N/A</v>
      </c>
      <c r="AD42" s="126"/>
      <c r="AE42" s="126"/>
      <c r="AF42" s="126"/>
      <c r="AG42" s="126"/>
      <c r="AH42" s="126"/>
      <c r="AI42" s="126">
        <f t="shared" si="20"/>
        <v>0</v>
      </c>
      <c r="AJ42" s="126"/>
      <c r="AK42" s="94" t="e">
        <f t="shared" si="21"/>
        <v>#N/A</v>
      </c>
      <c r="AL42" s="94" t="e">
        <f t="shared" si="22"/>
        <v>#N/A</v>
      </c>
      <c r="AM42" s="94" t="e">
        <f t="shared" si="23"/>
        <v>#N/A</v>
      </c>
      <c r="AN42" s="94" t="e">
        <f t="shared" si="24"/>
        <v>#N/A</v>
      </c>
      <c r="AO42" s="95">
        <f t="shared" si="25"/>
        <v>0</v>
      </c>
      <c r="AP42" s="126" t="e">
        <f t="shared" si="26"/>
        <v>#N/A</v>
      </c>
      <c r="AQ42" s="126" t="e">
        <f t="shared" si="27"/>
        <v>#N/A</v>
      </c>
      <c r="AR42" s="126" t="e">
        <f t="shared" si="28"/>
        <v>#N/A</v>
      </c>
      <c r="AS42" s="126" t="e">
        <f t="shared" si="29"/>
        <v>#N/A</v>
      </c>
      <c r="AT42" s="126">
        <v>0</v>
      </c>
      <c r="AU42" s="126"/>
      <c r="AV42" s="126"/>
      <c r="AW42" s="126"/>
      <c r="AX42" s="126"/>
      <c r="AY42" s="126">
        <f t="shared" si="30"/>
        <v>0</v>
      </c>
      <c r="AZ42" s="127"/>
      <c r="BA42" s="127"/>
      <c r="BC42" s="27" t="e">
        <f t="shared" si="31"/>
        <v>#N/A</v>
      </c>
      <c r="BD42" s="27" t="e">
        <f t="shared" si="32"/>
        <v>#N/A</v>
      </c>
      <c r="BE42" s="27"/>
      <c r="BF42" s="27">
        <f t="shared" si="33"/>
        <v>0</v>
      </c>
      <c r="BG42" s="27"/>
      <c r="BH42" s="27" t="e">
        <f t="shared" si="34"/>
        <v>#N/A</v>
      </c>
      <c r="BI42" s="27" t="e">
        <f t="shared" si="35"/>
        <v>#N/A</v>
      </c>
      <c r="BJ42" s="27" t="e">
        <f t="shared" si="36"/>
        <v>#N/A</v>
      </c>
      <c r="BK42" s="27"/>
      <c r="BL42" s="27"/>
      <c r="BM42" s="27" t="e">
        <f t="shared" si="37"/>
        <v>#N/A</v>
      </c>
      <c r="BN42" s="27" t="e">
        <f t="shared" si="38"/>
        <v>#N/A</v>
      </c>
      <c r="BO42" s="27" t="e">
        <f t="shared" si="39"/>
        <v>#N/A</v>
      </c>
      <c r="BP42" s="27"/>
      <c r="BQ42" s="27"/>
    </row>
    <row r="43" spans="1:69" s="2" customFormat="1" x14ac:dyDescent="0.25">
      <c r="A43" s="128"/>
      <c r="B43" s="166"/>
      <c r="C43" s="126"/>
      <c r="D43" s="57" t="e">
        <f>VLOOKUP(G43,[1]!ModTbl,2,0)</f>
        <v>#N/A</v>
      </c>
      <c r="E43" s="57" t="e">
        <f>VLOOKUP(G43,[1]!ModTbl,3,0)</f>
        <v>#N/A</v>
      </c>
      <c r="F43" s="57" t="e">
        <f>VLOOKUP(G43,[1]!ModTbl,4,0)</f>
        <v>#N/A</v>
      </c>
      <c r="G43" s="25"/>
      <c r="H43" s="128"/>
      <c r="I43" s="128"/>
      <c r="J43" s="58" t="e">
        <f>VLOOKUP(G43,[1]!ModTbl,8,0)</f>
        <v>#N/A</v>
      </c>
      <c r="K43" s="58" t="e">
        <f>VLOOKUP(G43,[1]!ModTbl,9,0)</f>
        <v>#N/A</v>
      </c>
      <c r="L43" s="58" t="e">
        <f>VLOOKUP(G43,[1]!ModTbl,10,0)</f>
        <v>#N/A</v>
      </c>
      <c r="M43" s="58">
        <v>0</v>
      </c>
      <c r="N43" s="126" t="e">
        <f t="shared" si="4"/>
        <v>#N/A</v>
      </c>
      <c r="O43" s="126" t="e">
        <f t="shared" si="5"/>
        <v>#N/A</v>
      </c>
      <c r="P43" s="126" t="e">
        <f t="shared" si="6"/>
        <v>#N/A</v>
      </c>
      <c r="Q43" s="126" t="e">
        <f t="shared" si="7"/>
        <v>#N/A</v>
      </c>
      <c r="R43" s="126" t="e">
        <f t="shared" si="8"/>
        <v>#N/A</v>
      </c>
      <c r="S43" s="126" t="e">
        <f t="shared" si="9"/>
        <v>#N/A</v>
      </c>
      <c r="T43" s="126" t="e">
        <f t="shared" si="10"/>
        <v>#N/A</v>
      </c>
      <c r="U43" s="94" t="e">
        <f t="shared" si="11"/>
        <v>#N/A</v>
      </c>
      <c r="V43" s="94" t="e">
        <f t="shared" si="12"/>
        <v>#N/A</v>
      </c>
      <c r="W43" s="94" t="e">
        <f t="shared" si="13"/>
        <v>#N/A</v>
      </c>
      <c r="X43" s="94" t="e">
        <f t="shared" si="14"/>
        <v>#N/A</v>
      </c>
      <c r="Y43" s="95">
        <f t="shared" si="15"/>
        <v>0</v>
      </c>
      <c r="Z43" s="126" t="e">
        <f t="shared" si="16"/>
        <v>#N/A</v>
      </c>
      <c r="AA43" s="126" t="e">
        <f t="shared" si="17"/>
        <v>#N/A</v>
      </c>
      <c r="AB43" s="126" t="e">
        <f t="shared" si="18"/>
        <v>#N/A</v>
      </c>
      <c r="AC43" s="126" t="e">
        <f t="shared" si="19"/>
        <v>#N/A</v>
      </c>
      <c r="AD43" s="126"/>
      <c r="AE43" s="126"/>
      <c r="AF43" s="126"/>
      <c r="AG43" s="126"/>
      <c r="AH43" s="126"/>
      <c r="AI43" s="126">
        <f t="shared" si="20"/>
        <v>0</v>
      </c>
      <c r="AJ43" s="126"/>
      <c r="AK43" s="94" t="e">
        <f t="shared" si="21"/>
        <v>#N/A</v>
      </c>
      <c r="AL43" s="94" t="e">
        <f t="shared" si="22"/>
        <v>#N/A</v>
      </c>
      <c r="AM43" s="94" t="e">
        <f t="shared" si="23"/>
        <v>#N/A</v>
      </c>
      <c r="AN43" s="94" t="e">
        <f t="shared" si="24"/>
        <v>#N/A</v>
      </c>
      <c r="AO43" s="95">
        <f t="shared" si="25"/>
        <v>0</v>
      </c>
      <c r="AP43" s="126" t="e">
        <f t="shared" si="26"/>
        <v>#N/A</v>
      </c>
      <c r="AQ43" s="126" t="e">
        <f t="shared" si="27"/>
        <v>#N/A</v>
      </c>
      <c r="AR43" s="126" t="e">
        <f t="shared" si="28"/>
        <v>#N/A</v>
      </c>
      <c r="AS43" s="126" t="e">
        <f t="shared" si="29"/>
        <v>#N/A</v>
      </c>
      <c r="AT43" s="126">
        <v>0</v>
      </c>
      <c r="AU43" s="126"/>
      <c r="AV43" s="126"/>
      <c r="AW43" s="126"/>
      <c r="AX43" s="126"/>
      <c r="AY43" s="126">
        <f t="shared" si="30"/>
        <v>0</v>
      </c>
      <c r="AZ43" s="127"/>
      <c r="BA43" s="127"/>
      <c r="BC43" s="27" t="e">
        <f t="shared" si="31"/>
        <v>#N/A</v>
      </c>
      <c r="BD43" s="27" t="e">
        <f t="shared" si="32"/>
        <v>#N/A</v>
      </c>
      <c r="BE43" s="27"/>
      <c r="BF43" s="27">
        <f t="shared" si="33"/>
        <v>0</v>
      </c>
      <c r="BG43" s="27"/>
      <c r="BH43" s="27" t="e">
        <f t="shared" si="34"/>
        <v>#N/A</v>
      </c>
      <c r="BI43" s="27" t="e">
        <f t="shared" si="35"/>
        <v>#N/A</v>
      </c>
      <c r="BJ43" s="27" t="e">
        <f t="shared" si="36"/>
        <v>#N/A</v>
      </c>
      <c r="BK43" s="27"/>
      <c r="BL43" s="27"/>
      <c r="BM43" s="27" t="e">
        <f t="shared" si="37"/>
        <v>#N/A</v>
      </c>
      <c r="BN43" s="27" t="e">
        <f t="shared" si="38"/>
        <v>#N/A</v>
      </c>
      <c r="BO43" s="27" t="e">
        <f t="shared" si="39"/>
        <v>#N/A</v>
      </c>
      <c r="BP43" s="27"/>
      <c r="BQ43" s="27"/>
    </row>
    <row r="44" spans="1:69" s="2" customFormat="1" x14ac:dyDescent="0.25">
      <c r="A44" s="128"/>
      <c r="B44" s="166"/>
      <c r="C44" s="126"/>
      <c r="D44" s="57" t="e">
        <f>VLOOKUP(G44,[1]!ModTbl,2,0)</f>
        <v>#N/A</v>
      </c>
      <c r="E44" s="57" t="e">
        <f>VLOOKUP(G44,[1]!ModTbl,3,0)</f>
        <v>#N/A</v>
      </c>
      <c r="F44" s="57" t="e">
        <f>VLOOKUP(G44,[1]!ModTbl,4,0)</f>
        <v>#N/A</v>
      </c>
      <c r="G44" s="25"/>
      <c r="H44" s="128"/>
      <c r="I44" s="128"/>
      <c r="J44" s="58" t="e">
        <f>VLOOKUP(G44,[1]!ModTbl,8,0)</f>
        <v>#N/A</v>
      </c>
      <c r="K44" s="58" t="e">
        <f>VLOOKUP(G44,[1]!ModTbl,9,0)</f>
        <v>#N/A</v>
      </c>
      <c r="L44" s="58" t="e">
        <f>VLOOKUP(G44,[1]!ModTbl,10,0)</f>
        <v>#N/A</v>
      </c>
      <c r="M44" s="58">
        <v>0</v>
      </c>
      <c r="N44" s="126" t="e">
        <f t="shared" si="4"/>
        <v>#N/A</v>
      </c>
      <c r="O44" s="126" t="e">
        <f t="shared" si="5"/>
        <v>#N/A</v>
      </c>
      <c r="P44" s="126" t="e">
        <f t="shared" si="6"/>
        <v>#N/A</v>
      </c>
      <c r="Q44" s="126" t="e">
        <f t="shared" si="7"/>
        <v>#N/A</v>
      </c>
      <c r="R44" s="126" t="e">
        <f t="shared" si="8"/>
        <v>#N/A</v>
      </c>
      <c r="S44" s="126" t="e">
        <f t="shared" si="9"/>
        <v>#N/A</v>
      </c>
      <c r="T44" s="126" t="e">
        <f t="shared" si="10"/>
        <v>#N/A</v>
      </c>
      <c r="U44" s="94" t="e">
        <f t="shared" si="11"/>
        <v>#N/A</v>
      </c>
      <c r="V44" s="94" t="e">
        <f t="shared" si="12"/>
        <v>#N/A</v>
      </c>
      <c r="W44" s="94" t="e">
        <f t="shared" si="13"/>
        <v>#N/A</v>
      </c>
      <c r="X44" s="94" t="e">
        <f t="shared" si="14"/>
        <v>#N/A</v>
      </c>
      <c r="Y44" s="95">
        <f t="shared" si="15"/>
        <v>0</v>
      </c>
      <c r="Z44" s="126" t="e">
        <f t="shared" si="16"/>
        <v>#N/A</v>
      </c>
      <c r="AA44" s="126" t="e">
        <f t="shared" si="17"/>
        <v>#N/A</v>
      </c>
      <c r="AB44" s="126" t="e">
        <f t="shared" si="18"/>
        <v>#N/A</v>
      </c>
      <c r="AC44" s="126" t="e">
        <f t="shared" si="19"/>
        <v>#N/A</v>
      </c>
      <c r="AD44" s="126"/>
      <c r="AE44" s="126"/>
      <c r="AF44" s="126"/>
      <c r="AG44" s="126"/>
      <c r="AH44" s="126"/>
      <c r="AI44" s="126">
        <f t="shared" si="20"/>
        <v>0</v>
      </c>
      <c r="AJ44" s="126"/>
      <c r="AK44" s="94" t="e">
        <f t="shared" si="21"/>
        <v>#N/A</v>
      </c>
      <c r="AL44" s="94" t="e">
        <f t="shared" si="22"/>
        <v>#N/A</v>
      </c>
      <c r="AM44" s="94" t="e">
        <f t="shared" si="23"/>
        <v>#N/A</v>
      </c>
      <c r="AN44" s="94" t="e">
        <f t="shared" si="24"/>
        <v>#N/A</v>
      </c>
      <c r="AO44" s="95">
        <f t="shared" si="25"/>
        <v>0</v>
      </c>
      <c r="AP44" s="126" t="e">
        <f t="shared" si="26"/>
        <v>#N/A</v>
      </c>
      <c r="AQ44" s="126" t="e">
        <f t="shared" si="27"/>
        <v>#N/A</v>
      </c>
      <c r="AR44" s="126" t="e">
        <f t="shared" si="28"/>
        <v>#N/A</v>
      </c>
      <c r="AS44" s="126" t="e">
        <f t="shared" si="29"/>
        <v>#N/A</v>
      </c>
      <c r="AT44" s="126">
        <v>0</v>
      </c>
      <c r="AU44" s="126"/>
      <c r="AV44" s="126"/>
      <c r="AW44" s="126"/>
      <c r="AX44" s="126"/>
      <c r="AY44" s="126">
        <f t="shared" si="30"/>
        <v>0</v>
      </c>
      <c r="AZ44" s="127"/>
      <c r="BA44" s="127"/>
      <c r="BC44" s="27" t="e">
        <f t="shared" si="31"/>
        <v>#N/A</v>
      </c>
      <c r="BD44" s="27" t="e">
        <f t="shared" si="32"/>
        <v>#N/A</v>
      </c>
      <c r="BE44" s="27"/>
      <c r="BF44" s="27">
        <f t="shared" si="33"/>
        <v>0</v>
      </c>
      <c r="BG44" s="27"/>
      <c r="BH44" s="27" t="e">
        <f t="shared" si="34"/>
        <v>#N/A</v>
      </c>
      <c r="BI44" s="27" t="e">
        <f t="shared" si="35"/>
        <v>#N/A</v>
      </c>
      <c r="BJ44" s="27" t="e">
        <f t="shared" si="36"/>
        <v>#N/A</v>
      </c>
      <c r="BK44" s="27"/>
      <c r="BL44" s="27"/>
      <c r="BM44" s="27" t="e">
        <f t="shared" si="37"/>
        <v>#N/A</v>
      </c>
      <c r="BN44" s="27" t="e">
        <f t="shared" si="38"/>
        <v>#N/A</v>
      </c>
      <c r="BO44" s="27" t="e">
        <f t="shared" si="39"/>
        <v>#N/A</v>
      </c>
      <c r="BP44" s="27"/>
      <c r="BQ44" s="27"/>
    </row>
    <row r="45" spans="1:69" s="2" customFormat="1" x14ac:dyDescent="0.25">
      <c r="A45" s="128"/>
      <c r="B45" s="166"/>
      <c r="C45" s="126"/>
      <c r="D45" s="57" t="e">
        <f>VLOOKUP(G45,[1]!ModTbl,2,0)</f>
        <v>#N/A</v>
      </c>
      <c r="E45" s="57" t="e">
        <f>VLOOKUP(G45,[1]!ModTbl,3,0)</f>
        <v>#N/A</v>
      </c>
      <c r="F45" s="57" t="e">
        <f>VLOOKUP(G45,[1]!ModTbl,4,0)</f>
        <v>#N/A</v>
      </c>
      <c r="G45" s="25"/>
      <c r="H45" s="128"/>
      <c r="I45" s="128"/>
      <c r="J45" s="58" t="e">
        <f>VLOOKUP(G45,[1]!ModTbl,8,0)</f>
        <v>#N/A</v>
      </c>
      <c r="K45" s="58" t="e">
        <f>VLOOKUP(G45,[1]!ModTbl,9,0)</f>
        <v>#N/A</v>
      </c>
      <c r="L45" s="58" t="e">
        <f>VLOOKUP(G45,[1]!ModTbl,10,0)</f>
        <v>#N/A</v>
      </c>
      <c r="M45" s="58">
        <v>0</v>
      </c>
      <c r="N45" s="126" t="e">
        <f t="shared" si="4"/>
        <v>#N/A</v>
      </c>
      <c r="O45" s="126" t="e">
        <f t="shared" si="5"/>
        <v>#N/A</v>
      </c>
      <c r="P45" s="126" t="e">
        <f t="shared" si="6"/>
        <v>#N/A</v>
      </c>
      <c r="Q45" s="126" t="e">
        <f t="shared" si="7"/>
        <v>#N/A</v>
      </c>
      <c r="R45" s="126" t="e">
        <f t="shared" si="8"/>
        <v>#N/A</v>
      </c>
      <c r="S45" s="126" t="e">
        <f t="shared" si="9"/>
        <v>#N/A</v>
      </c>
      <c r="T45" s="126" t="e">
        <f t="shared" si="10"/>
        <v>#N/A</v>
      </c>
      <c r="U45" s="94" t="e">
        <f t="shared" si="11"/>
        <v>#N/A</v>
      </c>
      <c r="V45" s="94" t="e">
        <f t="shared" si="12"/>
        <v>#N/A</v>
      </c>
      <c r="W45" s="94" t="e">
        <f t="shared" si="13"/>
        <v>#N/A</v>
      </c>
      <c r="X45" s="94" t="e">
        <f t="shared" si="14"/>
        <v>#N/A</v>
      </c>
      <c r="Y45" s="95">
        <f t="shared" si="15"/>
        <v>0</v>
      </c>
      <c r="Z45" s="126" t="e">
        <f t="shared" si="16"/>
        <v>#N/A</v>
      </c>
      <c r="AA45" s="126" t="e">
        <f t="shared" si="17"/>
        <v>#N/A</v>
      </c>
      <c r="AB45" s="126" t="e">
        <f t="shared" si="18"/>
        <v>#N/A</v>
      </c>
      <c r="AC45" s="126" t="e">
        <f t="shared" si="19"/>
        <v>#N/A</v>
      </c>
      <c r="AD45" s="126"/>
      <c r="AE45" s="126"/>
      <c r="AF45" s="126"/>
      <c r="AG45" s="126"/>
      <c r="AH45" s="126"/>
      <c r="AI45" s="126">
        <f t="shared" si="20"/>
        <v>0</v>
      </c>
      <c r="AJ45" s="126"/>
      <c r="AK45" s="94" t="e">
        <f t="shared" si="21"/>
        <v>#N/A</v>
      </c>
      <c r="AL45" s="94" t="e">
        <f t="shared" si="22"/>
        <v>#N/A</v>
      </c>
      <c r="AM45" s="94" t="e">
        <f t="shared" si="23"/>
        <v>#N/A</v>
      </c>
      <c r="AN45" s="94" t="e">
        <f t="shared" si="24"/>
        <v>#N/A</v>
      </c>
      <c r="AO45" s="95">
        <f t="shared" si="25"/>
        <v>0</v>
      </c>
      <c r="AP45" s="126" t="e">
        <f t="shared" si="26"/>
        <v>#N/A</v>
      </c>
      <c r="AQ45" s="126" t="e">
        <f t="shared" si="27"/>
        <v>#N/A</v>
      </c>
      <c r="AR45" s="126" t="e">
        <f t="shared" si="28"/>
        <v>#N/A</v>
      </c>
      <c r="AS45" s="126" t="e">
        <f t="shared" si="29"/>
        <v>#N/A</v>
      </c>
      <c r="AT45" s="126">
        <v>0</v>
      </c>
      <c r="AU45" s="126"/>
      <c r="AV45" s="126"/>
      <c r="AW45" s="126"/>
      <c r="AX45" s="126"/>
      <c r="AY45" s="126">
        <f t="shared" si="30"/>
        <v>0</v>
      </c>
      <c r="AZ45" s="127"/>
      <c r="BA45" s="127"/>
      <c r="BC45" s="27" t="e">
        <f t="shared" si="31"/>
        <v>#N/A</v>
      </c>
      <c r="BD45" s="27" t="e">
        <f t="shared" si="32"/>
        <v>#N/A</v>
      </c>
      <c r="BE45" s="27"/>
      <c r="BF45" s="27">
        <f t="shared" si="33"/>
        <v>0</v>
      </c>
      <c r="BG45" s="27"/>
      <c r="BH45" s="27" t="e">
        <f t="shared" si="34"/>
        <v>#N/A</v>
      </c>
      <c r="BI45" s="27" t="e">
        <f t="shared" si="35"/>
        <v>#N/A</v>
      </c>
      <c r="BJ45" s="27" t="e">
        <f t="shared" si="36"/>
        <v>#N/A</v>
      </c>
      <c r="BK45" s="27"/>
      <c r="BL45" s="27"/>
      <c r="BM45" s="27" t="e">
        <f t="shared" si="37"/>
        <v>#N/A</v>
      </c>
      <c r="BN45" s="27" t="e">
        <f t="shared" si="38"/>
        <v>#N/A</v>
      </c>
      <c r="BO45" s="27" t="e">
        <f t="shared" si="39"/>
        <v>#N/A</v>
      </c>
      <c r="BP45" s="27"/>
      <c r="BQ45" s="27"/>
    </row>
    <row r="46" spans="1:69" s="2" customFormat="1" x14ac:dyDescent="0.25">
      <c r="A46" s="128"/>
      <c r="B46" s="166"/>
      <c r="C46" s="144"/>
      <c r="D46" s="138" t="e">
        <f>VLOOKUP(G46,[1]!ModTbl,2,0)</f>
        <v>#N/A</v>
      </c>
      <c r="E46" s="138" t="e">
        <f>VLOOKUP(G46,[1]!ModTbl,3,0)</f>
        <v>#N/A</v>
      </c>
      <c r="F46" s="138" t="e">
        <f>VLOOKUP(G46,[1]!ModTbl,4,0)</f>
        <v>#N/A</v>
      </c>
      <c r="G46" s="145"/>
      <c r="H46" s="128"/>
      <c r="I46" s="128"/>
      <c r="J46" s="58" t="e">
        <f>VLOOKUP(G46,[1]!ModTbl,8,0)</f>
        <v>#N/A</v>
      </c>
      <c r="K46" s="58" t="e">
        <f>VLOOKUP(G46,[1]!ModTbl,9,0)</f>
        <v>#N/A</v>
      </c>
      <c r="L46" s="58" t="e">
        <f>VLOOKUP(G46,[1]!ModTbl,10,0)</f>
        <v>#N/A</v>
      </c>
      <c r="M46" s="58">
        <v>0</v>
      </c>
      <c r="N46" s="126" t="e">
        <f t="shared" si="4"/>
        <v>#N/A</v>
      </c>
      <c r="O46" s="126" t="e">
        <f t="shared" si="5"/>
        <v>#N/A</v>
      </c>
      <c r="P46" s="126" t="e">
        <f t="shared" si="6"/>
        <v>#N/A</v>
      </c>
      <c r="Q46" s="126" t="e">
        <f t="shared" si="7"/>
        <v>#N/A</v>
      </c>
      <c r="R46" s="126" t="e">
        <f t="shared" si="8"/>
        <v>#N/A</v>
      </c>
      <c r="S46" s="126" t="e">
        <f t="shared" si="9"/>
        <v>#N/A</v>
      </c>
      <c r="T46" s="126" t="e">
        <f t="shared" si="10"/>
        <v>#N/A</v>
      </c>
      <c r="U46" s="94" t="e">
        <f t="shared" si="11"/>
        <v>#N/A</v>
      </c>
      <c r="V46" s="94" t="e">
        <f t="shared" si="12"/>
        <v>#N/A</v>
      </c>
      <c r="W46" s="94" t="e">
        <f t="shared" si="13"/>
        <v>#N/A</v>
      </c>
      <c r="X46" s="94" t="e">
        <f t="shared" si="14"/>
        <v>#N/A</v>
      </c>
      <c r="Y46" s="95">
        <f t="shared" si="15"/>
        <v>0</v>
      </c>
      <c r="Z46" s="126" t="e">
        <f t="shared" si="16"/>
        <v>#N/A</v>
      </c>
      <c r="AA46" s="126" t="e">
        <f t="shared" si="17"/>
        <v>#N/A</v>
      </c>
      <c r="AB46" s="126" t="e">
        <f t="shared" si="18"/>
        <v>#N/A</v>
      </c>
      <c r="AC46" s="126" t="e">
        <f t="shared" si="19"/>
        <v>#N/A</v>
      </c>
      <c r="AD46" s="126"/>
      <c r="AE46" s="126"/>
      <c r="AF46" s="126"/>
      <c r="AG46" s="126"/>
      <c r="AH46" s="126"/>
      <c r="AI46" s="126">
        <f t="shared" si="20"/>
        <v>0</v>
      </c>
      <c r="AJ46" s="126"/>
      <c r="AK46" s="94" t="e">
        <f t="shared" si="21"/>
        <v>#N/A</v>
      </c>
      <c r="AL46" s="94" t="e">
        <f t="shared" si="22"/>
        <v>#N/A</v>
      </c>
      <c r="AM46" s="94" t="e">
        <f t="shared" si="23"/>
        <v>#N/A</v>
      </c>
      <c r="AN46" s="94" t="e">
        <f t="shared" si="24"/>
        <v>#N/A</v>
      </c>
      <c r="AO46" s="95">
        <f t="shared" si="25"/>
        <v>0</v>
      </c>
      <c r="AP46" s="126" t="e">
        <f t="shared" si="26"/>
        <v>#N/A</v>
      </c>
      <c r="AQ46" s="126" t="e">
        <f t="shared" si="27"/>
        <v>#N/A</v>
      </c>
      <c r="AR46" s="126" t="e">
        <f t="shared" si="28"/>
        <v>#N/A</v>
      </c>
      <c r="AS46" s="126" t="e">
        <f t="shared" si="29"/>
        <v>#N/A</v>
      </c>
      <c r="AT46" s="126">
        <v>0</v>
      </c>
      <c r="AU46" s="126"/>
      <c r="AV46" s="126"/>
      <c r="AW46" s="126"/>
      <c r="AX46" s="126"/>
      <c r="AY46" s="126">
        <f t="shared" si="30"/>
        <v>0</v>
      </c>
      <c r="AZ46" s="127"/>
      <c r="BA46" s="127"/>
      <c r="BC46" s="27" t="e">
        <f t="shared" si="31"/>
        <v>#N/A</v>
      </c>
      <c r="BD46" s="27" t="e">
        <f t="shared" si="32"/>
        <v>#N/A</v>
      </c>
      <c r="BE46" s="27"/>
      <c r="BF46" s="27">
        <f t="shared" si="33"/>
        <v>0</v>
      </c>
      <c r="BG46" s="27"/>
      <c r="BH46" s="27" t="e">
        <f t="shared" si="34"/>
        <v>#N/A</v>
      </c>
      <c r="BI46" s="27" t="e">
        <f t="shared" si="35"/>
        <v>#N/A</v>
      </c>
      <c r="BJ46" s="27" t="e">
        <f t="shared" si="36"/>
        <v>#N/A</v>
      </c>
      <c r="BK46" s="27"/>
      <c r="BL46" s="27"/>
      <c r="BM46" s="27" t="e">
        <f t="shared" si="37"/>
        <v>#N/A</v>
      </c>
      <c r="BN46" s="27" t="e">
        <f t="shared" si="38"/>
        <v>#N/A</v>
      </c>
      <c r="BO46" s="27" t="e">
        <f t="shared" si="39"/>
        <v>#N/A</v>
      </c>
      <c r="BP46" s="27"/>
      <c r="BQ46" s="27"/>
    </row>
    <row r="47" spans="1:69" s="2" customFormat="1" x14ac:dyDescent="0.25">
      <c r="A47" s="128"/>
      <c r="B47" s="166"/>
      <c r="C47" s="144"/>
      <c r="D47" s="138" t="e">
        <f>VLOOKUP(G47,[1]!ModTbl,2,0)</f>
        <v>#N/A</v>
      </c>
      <c r="E47" s="138" t="e">
        <f>VLOOKUP(G47,[1]!ModTbl,3,0)</f>
        <v>#N/A</v>
      </c>
      <c r="F47" s="138" t="e">
        <f>VLOOKUP(G47,[1]!ModTbl,4,0)</f>
        <v>#N/A</v>
      </c>
      <c r="G47" s="145"/>
      <c r="H47" s="128"/>
      <c r="I47" s="128"/>
      <c r="J47" s="58" t="e">
        <f>VLOOKUP(G47,[1]!ModTbl,8,0)</f>
        <v>#N/A</v>
      </c>
      <c r="K47" s="58" t="e">
        <f>VLOOKUP(G47,[1]!ModTbl,9,0)</f>
        <v>#N/A</v>
      </c>
      <c r="L47" s="58" t="e">
        <f>VLOOKUP(G47,[1]!ModTbl,10,0)</f>
        <v>#N/A</v>
      </c>
      <c r="M47" s="58">
        <v>0</v>
      </c>
      <c r="N47" s="126" t="e">
        <f t="shared" si="4"/>
        <v>#N/A</v>
      </c>
      <c r="O47" s="126" t="e">
        <f t="shared" si="5"/>
        <v>#N/A</v>
      </c>
      <c r="P47" s="126" t="e">
        <f t="shared" si="6"/>
        <v>#N/A</v>
      </c>
      <c r="Q47" s="126" t="e">
        <f t="shared" si="7"/>
        <v>#N/A</v>
      </c>
      <c r="R47" s="126" t="e">
        <f t="shared" si="8"/>
        <v>#N/A</v>
      </c>
      <c r="S47" s="126" t="e">
        <f t="shared" si="9"/>
        <v>#N/A</v>
      </c>
      <c r="T47" s="126" t="e">
        <f t="shared" si="10"/>
        <v>#N/A</v>
      </c>
      <c r="U47" s="94" t="e">
        <f t="shared" si="11"/>
        <v>#N/A</v>
      </c>
      <c r="V47" s="94" t="e">
        <f t="shared" si="12"/>
        <v>#N/A</v>
      </c>
      <c r="W47" s="94" t="e">
        <f t="shared" si="13"/>
        <v>#N/A</v>
      </c>
      <c r="X47" s="94" t="e">
        <f t="shared" si="14"/>
        <v>#N/A</v>
      </c>
      <c r="Y47" s="95">
        <f t="shared" si="15"/>
        <v>0</v>
      </c>
      <c r="Z47" s="126" t="e">
        <f t="shared" si="16"/>
        <v>#N/A</v>
      </c>
      <c r="AA47" s="126" t="e">
        <f t="shared" si="17"/>
        <v>#N/A</v>
      </c>
      <c r="AB47" s="126" t="e">
        <f t="shared" si="18"/>
        <v>#N/A</v>
      </c>
      <c r="AC47" s="126" t="e">
        <f t="shared" si="19"/>
        <v>#N/A</v>
      </c>
      <c r="AD47" s="126"/>
      <c r="AE47" s="126"/>
      <c r="AF47" s="126"/>
      <c r="AG47" s="126"/>
      <c r="AH47" s="126"/>
      <c r="AI47" s="126">
        <f t="shared" si="20"/>
        <v>0</v>
      </c>
      <c r="AJ47" s="126"/>
      <c r="AK47" s="94" t="e">
        <f t="shared" si="21"/>
        <v>#N/A</v>
      </c>
      <c r="AL47" s="94" t="e">
        <f t="shared" si="22"/>
        <v>#N/A</v>
      </c>
      <c r="AM47" s="94" t="e">
        <f t="shared" si="23"/>
        <v>#N/A</v>
      </c>
      <c r="AN47" s="94" t="e">
        <f t="shared" si="24"/>
        <v>#N/A</v>
      </c>
      <c r="AO47" s="95">
        <f t="shared" si="25"/>
        <v>0</v>
      </c>
      <c r="AP47" s="126" t="e">
        <f t="shared" si="26"/>
        <v>#N/A</v>
      </c>
      <c r="AQ47" s="126" t="e">
        <f t="shared" si="27"/>
        <v>#N/A</v>
      </c>
      <c r="AR47" s="126" t="e">
        <f t="shared" si="28"/>
        <v>#N/A</v>
      </c>
      <c r="AS47" s="126" t="e">
        <f t="shared" si="29"/>
        <v>#N/A</v>
      </c>
      <c r="AT47" s="126">
        <v>0</v>
      </c>
      <c r="AU47" s="126"/>
      <c r="AV47" s="126"/>
      <c r="AW47" s="126"/>
      <c r="AX47" s="126"/>
      <c r="AY47" s="126">
        <f t="shared" si="30"/>
        <v>0</v>
      </c>
      <c r="AZ47" s="127"/>
      <c r="BA47" s="127"/>
      <c r="BC47" s="27" t="e">
        <f t="shared" si="31"/>
        <v>#N/A</v>
      </c>
      <c r="BD47" s="27" t="e">
        <f t="shared" si="32"/>
        <v>#N/A</v>
      </c>
      <c r="BE47" s="27"/>
      <c r="BF47" s="27">
        <f t="shared" si="33"/>
        <v>0</v>
      </c>
      <c r="BG47" s="27"/>
      <c r="BH47" s="27" t="e">
        <f t="shared" si="34"/>
        <v>#N/A</v>
      </c>
      <c r="BI47" s="27" t="e">
        <f t="shared" si="35"/>
        <v>#N/A</v>
      </c>
      <c r="BJ47" s="27" t="e">
        <f t="shared" si="36"/>
        <v>#N/A</v>
      </c>
      <c r="BK47" s="27"/>
      <c r="BL47" s="27"/>
      <c r="BM47" s="27" t="e">
        <f t="shared" si="37"/>
        <v>#N/A</v>
      </c>
      <c r="BN47" s="27" t="e">
        <f t="shared" si="38"/>
        <v>#N/A</v>
      </c>
      <c r="BO47" s="27" t="e">
        <f t="shared" si="39"/>
        <v>#N/A</v>
      </c>
      <c r="BP47" s="27"/>
      <c r="BQ47" s="27"/>
    </row>
    <row r="48" spans="1:69" s="2" customFormat="1" x14ac:dyDescent="0.25">
      <c r="A48" s="128"/>
      <c r="B48" s="166"/>
      <c r="C48" s="144"/>
      <c r="D48" s="138" t="e">
        <f>VLOOKUP(G48,[1]!ModTbl,2,0)</f>
        <v>#N/A</v>
      </c>
      <c r="E48" s="138" t="e">
        <f>VLOOKUP(G48,[1]!ModTbl,3,0)</f>
        <v>#N/A</v>
      </c>
      <c r="F48" s="138" t="e">
        <f>VLOOKUP(G48,[1]!ModTbl,4,0)</f>
        <v>#N/A</v>
      </c>
      <c r="G48" s="145"/>
      <c r="H48" s="128"/>
      <c r="I48" s="128"/>
      <c r="J48" s="58" t="e">
        <f>VLOOKUP(G48,[1]!ModTbl,8,0)</f>
        <v>#N/A</v>
      </c>
      <c r="K48" s="58" t="e">
        <f>VLOOKUP(G48,[1]!ModTbl,9,0)</f>
        <v>#N/A</v>
      </c>
      <c r="L48" s="58" t="e">
        <f>VLOOKUP(G48,[1]!ModTbl,10,0)</f>
        <v>#N/A</v>
      </c>
      <c r="M48" s="58">
        <v>0</v>
      </c>
      <c r="N48" s="126" t="e">
        <f t="shared" si="4"/>
        <v>#N/A</v>
      </c>
      <c r="O48" s="126" t="e">
        <f t="shared" si="5"/>
        <v>#N/A</v>
      </c>
      <c r="P48" s="126" t="e">
        <f t="shared" si="6"/>
        <v>#N/A</v>
      </c>
      <c r="Q48" s="126" t="e">
        <f t="shared" si="7"/>
        <v>#N/A</v>
      </c>
      <c r="R48" s="126" t="e">
        <f t="shared" si="8"/>
        <v>#N/A</v>
      </c>
      <c r="S48" s="126" t="e">
        <f t="shared" si="9"/>
        <v>#N/A</v>
      </c>
      <c r="T48" s="126" t="e">
        <f t="shared" si="10"/>
        <v>#N/A</v>
      </c>
      <c r="U48" s="94" t="e">
        <f t="shared" si="11"/>
        <v>#N/A</v>
      </c>
      <c r="V48" s="94" t="e">
        <f t="shared" si="12"/>
        <v>#N/A</v>
      </c>
      <c r="W48" s="94" t="e">
        <f t="shared" si="13"/>
        <v>#N/A</v>
      </c>
      <c r="X48" s="94" t="e">
        <f t="shared" si="14"/>
        <v>#N/A</v>
      </c>
      <c r="Y48" s="95">
        <f t="shared" si="15"/>
        <v>0</v>
      </c>
      <c r="Z48" s="126" t="e">
        <f t="shared" si="16"/>
        <v>#N/A</v>
      </c>
      <c r="AA48" s="126" t="e">
        <f t="shared" si="17"/>
        <v>#N/A</v>
      </c>
      <c r="AB48" s="126" t="e">
        <f t="shared" si="18"/>
        <v>#N/A</v>
      </c>
      <c r="AC48" s="126" t="e">
        <f t="shared" si="19"/>
        <v>#N/A</v>
      </c>
      <c r="AD48" s="126"/>
      <c r="AE48" s="126"/>
      <c r="AF48" s="126"/>
      <c r="AG48" s="126"/>
      <c r="AH48" s="126"/>
      <c r="AI48" s="126">
        <f t="shared" si="20"/>
        <v>0</v>
      </c>
      <c r="AJ48" s="126"/>
      <c r="AK48" s="94" t="e">
        <f t="shared" si="21"/>
        <v>#N/A</v>
      </c>
      <c r="AL48" s="94" t="e">
        <f t="shared" si="22"/>
        <v>#N/A</v>
      </c>
      <c r="AM48" s="94" t="e">
        <f t="shared" si="23"/>
        <v>#N/A</v>
      </c>
      <c r="AN48" s="94" t="e">
        <f t="shared" si="24"/>
        <v>#N/A</v>
      </c>
      <c r="AO48" s="95">
        <f t="shared" si="25"/>
        <v>0</v>
      </c>
      <c r="AP48" s="126" t="e">
        <f t="shared" si="26"/>
        <v>#N/A</v>
      </c>
      <c r="AQ48" s="126" t="e">
        <f t="shared" si="27"/>
        <v>#N/A</v>
      </c>
      <c r="AR48" s="126" t="e">
        <f t="shared" si="28"/>
        <v>#N/A</v>
      </c>
      <c r="AS48" s="126" t="e">
        <f t="shared" si="29"/>
        <v>#N/A</v>
      </c>
      <c r="AT48" s="126">
        <v>0</v>
      </c>
      <c r="AU48" s="126"/>
      <c r="AV48" s="126"/>
      <c r="AW48" s="126"/>
      <c r="AX48" s="126"/>
      <c r="AY48" s="126">
        <f t="shared" si="30"/>
        <v>0</v>
      </c>
      <c r="AZ48" s="127"/>
      <c r="BA48" s="127"/>
      <c r="BC48" s="27" t="e">
        <f t="shared" si="31"/>
        <v>#N/A</v>
      </c>
      <c r="BD48" s="27" t="e">
        <f t="shared" si="32"/>
        <v>#N/A</v>
      </c>
      <c r="BE48" s="27"/>
      <c r="BF48" s="27">
        <f t="shared" si="33"/>
        <v>0</v>
      </c>
      <c r="BG48" s="27"/>
      <c r="BH48" s="27" t="e">
        <f t="shared" si="34"/>
        <v>#N/A</v>
      </c>
      <c r="BI48" s="27" t="e">
        <f t="shared" si="35"/>
        <v>#N/A</v>
      </c>
      <c r="BJ48" s="27" t="e">
        <f t="shared" si="36"/>
        <v>#N/A</v>
      </c>
      <c r="BK48" s="27"/>
      <c r="BL48" s="27"/>
      <c r="BM48" s="27" t="e">
        <f t="shared" si="37"/>
        <v>#N/A</v>
      </c>
      <c r="BN48" s="27" t="e">
        <f t="shared" si="38"/>
        <v>#N/A</v>
      </c>
      <c r="BO48" s="27" t="e">
        <f t="shared" si="39"/>
        <v>#N/A</v>
      </c>
      <c r="BP48" s="27"/>
      <c r="BQ48" s="27"/>
    </row>
    <row r="49" spans="1:69" s="2" customFormat="1" x14ac:dyDescent="0.25">
      <c r="A49" s="128"/>
      <c r="B49" s="166"/>
      <c r="C49" s="144"/>
      <c r="D49" s="138" t="e">
        <f>VLOOKUP(G49,[1]!ModTbl,2,0)</f>
        <v>#N/A</v>
      </c>
      <c r="E49" s="138" t="e">
        <f>VLOOKUP(G49,[1]!ModTbl,3,0)</f>
        <v>#N/A</v>
      </c>
      <c r="F49" s="138" t="e">
        <f>VLOOKUP(G49,[1]!ModTbl,4,0)</f>
        <v>#N/A</v>
      </c>
      <c r="G49" s="145"/>
      <c r="H49" s="128"/>
      <c r="I49" s="128"/>
      <c r="J49" s="58" t="e">
        <f>VLOOKUP(G49,[1]!ModTbl,8,0)</f>
        <v>#N/A</v>
      </c>
      <c r="K49" s="58" t="e">
        <f>VLOOKUP(G49,[1]!ModTbl,9,0)</f>
        <v>#N/A</v>
      </c>
      <c r="L49" s="58" t="e">
        <f>VLOOKUP(G49,[1]!ModTbl,10,0)</f>
        <v>#N/A</v>
      </c>
      <c r="M49" s="58">
        <v>0</v>
      </c>
      <c r="N49" s="126" t="e">
        <f t="shared" si="4"/>
        <v>#N/A</v>
      </c>
      <c r="O49" s="126" t="e">
        <f t="shared" si="5"/>
        <v>#N/A</v>
      </c>
      <c r="P49" s="126" t="e">
        <f t="shared" si="6"/>
        <v>#N/A</v>
      </c>
      <c r="Q49" s="126" t="e">
        <f t="shared" si="7"/>
        <v>#N/A</v>
      </c>
      <c r="R49" s="126" t="e">
        <f t="shared" si="8"/>
        <v>#N/A</v>
      </c>
      <c r="S49" s="126" t="e">
        <f t="shared" si="9"/>
        <v>#N/A</v>
      </c>
      <c r="T49" s="126" t="e">
        <f t="shared" si="10"/>
        <v>#N/A</v>
      </c>
      <c r="U49" s="94" t="e">
        <f t="shared" si="11"/>
        <v>#N/A</v>
      </c>
      <c r="V49" s="94" t="e">
        <f t="shared" si="12"/>
        <v>#N/A</v>
      </c>
      <c r="W49" s="94" t="e">
        <f t="shared" si="13"/>
        <v>#N/A</v>
      </c>
      <c r="X49" s="94" t="e">
        <f t="shared" si="14"/>
        <v>#N/A</v>
      </c>
      <c r="Y49" s="95">
        <f t="shared" si="15"/>
        <v>0</v>
      </c>
      <c r="Z49" s="126" t="e">
        <f t="shared" si="16"/>
        <v>#N/A</v>
      </c>
      <c r="AA49" s="126" t="e">
        <f t="shared" si="17"/>
        <v>#N/A</v>
      </c>
      <c r="AB49" s="126" t="e">
        <f t="shared" si="18"/>
        <v>#N/A</v>
      </c>
      <c r="AC49" s="126" t="e">
        <f t="shared" si="19"/>
        <v>#N/A</v>
      </c>
      <c r="AD49" s="126"/>
      <c r="AE49" s="126"/>
      <c r="AF49" s="126"/>
      <c r="AG49" s="126"/>
      <c r="AH49" s="126"/>
      <c r="AI49" s="126">
        <f t="shared" si="20"/>
        <v>0</v>
      </c>
      <c r="AJ49" s="126"/>
      <c r="AK49" s="94" t="e">
        <f t="shared" si="21"/>
        <v>#N/A</v>
      </c>
      <c r="AL49" s="94" t="e">
        <f t="shared" si="22"/>
        <v>#N/A</v>
      </c>
      <c r="AM49" s="94" t="e">
        <f t="shared" si="23"/>
        <v>#N/A</v>
      </c>
      <c r="AN49" s="94" t="e">
        <f t="shared" si="24"/>
        <v>#N/A</v>
      </c>
      <c r="AO49" s="95">
        <f t="shared" si="25"/>
        <v>0</v>
      </c>
      <c r="AP49" s="126" t="e">
        <f t="shared" si="26"/>
        <v>#N/A</v>
      </c>
      <c r="AQ49" s="126" t="e">
        <f t="shared" si="27"/>
        <v>#N/A</v>
      </c>
      <c r="AR49" s="126" t="e">
        <f t="shared" si="28"/>
        <v>#N/A</v>
      </c>
      <c r="AS49" s="126" t="e">
        <f t="shared" si="29"/>
        <v>#N/A</v>
      </c>
      <c r="AT49" s="126">
        <v>0</v>
      </c>
      <c r="AU49" s="126"/>
      <c r="AV49" s="126"/>
      <c r="AW49" s="126"/>
      <c r="AX49" s="126"/>
      <c r="AY49" s="126">
        <f t="shared" si="30"/>
        <v>0</v>
      </c>
      <c r="AZ49" s="127"/>
      <c r="BA49" s="127"/>
      <c r="BC49" s="27" t="e">
        <f t="shared" si="31"/>
        <v>#N/A</v>
      </c>
      <c r="BD49" s="27" t="e">
        <f t="shared" si="32"/>
        <v>#N/A</v>
      </c>
      <c r="BE49" s="27"/>
      <c r="BF49" s="27">
        <f t="shared" si="33"/>
        <v>0</v>
      </c>
      <c r="BG49" s="27"/>
      <c r="BH49" s="27" t="e">
        <f t="shared" si="34"/>
        <v>#N/A</v>
      </c>
      <c r="BI49" s="27" t="e">
        <f t="shared" si="35"/>
        <v>#N/A</v>
      </c>
      <c r="BJ49" s="27" t="e">
        <f t="shared" si="36"/>
        <v>#N/A</v>
      </c>
      <c r="BK49" s="27"/>
      <c r="BL49" s="27"/>
      <c r="BM49" s="27" t="e">
        <f t="shared" si="37"/>
        <v>#N/A</v>
      </c>
      <c r="BN49" s="27" t="e">
        <f t="shared" si="38"/>
        <v>#N/A</v>
      </c>
      <c r="BO49" s="27" t="e">
        <f t="shared" si="39"/>
        <v>#N/A</v>
      </c>
      <c r="BP49" s="27"/>
      <c r="BQ49" s="27"/>
    </row>
    <row r="50" spans="1:69" s="2" customFormat="1" x14ac:dyDescent="0.25">
      <c r="A50" s="203"/>
      <c r="B50" s="204"/>
      <c r="C50" s="144"/>
      <c r="D50" s="138" t="e">
        <f>VLOOKUP(G50,[1]!ModTbl,2,0)</f>
        <v>#N/A</v>
      </c>
      <c r="E50" s="138" t="e">
        <f>VLOOKUP(G50,[1]!ModTbl,3,0)</f>
        <v>#N/A</v>
      </c>
      <c r="F50" s="138" t="e">
        <f>VLOOKUP(G50,[1]!ModTbl,4,0)</f>
        <v>#N/A</v>
      </c>
      <c r="G50" s="145"/>
      <c r="H50" s="128"/>
      <c r="I50" s="128"/>
      <c r="J50" s="58" t="e">
        <f>VLOOKUP(G50,[1]!ModTbl,8,0)</f>
        <v>#N/A</v>
      </c>
      <c r="K50" s="58" t="e">
        <f>VLOOKUP(G50,[1]!ModTbl,9,0)</f>
        <v>#N/A</v>
      </c>
      <c r="L50" s="58" t="e">
        <f>VLOOKUP(G50,[1]!ModTbl,10,0)</f>
        <v>#N/A</v>
      </c>
      <c r="M50" s="58">
        <v>0</v>
      </c>
      <c r="N50" s="126" t="e">
        <f t="shared" si="4"/>
        <v>#N/A</v>
      </c>
      <c r="O50" s="126" t="e">
        <f t="shared" si="5"/>
        <v>#N/A</v>
      </c>
      <c r="P50" s="126" t="e">
        <f t="shared" si="6"/>
        <v>#N/A</v>
      </c>
      <c r="Q50" s="126" t="e">
        <f t="shared" si="7"/>
        <v>#N/A</v>
      </c>
      <c r="R50" s="126" t="e">
        <f t="shared" si="8"/>
        <v>#N/A</v>
      </c>
      <c r="S50" s="126" t="e">
        <f t="shared" si="9"/>
        <v>#N/A</v>
      </c>
      <c r="T50" s="126" t="e">
        <f t="shared" si="10"/>
        <v>#N/A</v>
      </c>
      <c r="U50" s="94" t="e">
        <f t="shared" si="11"/>
        <v>#N/A</v>
      </c>
      <c r="V50" s="94" t="e">
        <f t="shared" si="12"/>
        <v>#N/A</v>
      </c>
      <c r="W50" s="94" t="e">
        <f t="shared" si="13"/>
        <v>#N/A</v>
      </c>
      <c r="X50" s="94" t="e">
        <f t="shared" si="14"/>
        <v>#N/A</v>
      </c>
      <c r="Y50" s="95">
        <f t="shared" si="15"/>
        <v>0</v>
      </c>
      <c r="Z50" s="126" t="e">
        <f t="shared" si="16"/>
        <v>#N/A</v>
      </c>
      <c r="AA50" s="126" t="e">
        <f t="shared" si="17"/>
        <v>#N/A</v>
      </c>
      <c r="AB50" s="126" t="e">
        <f t="shared" si="18"/>
        <v>#N/A</v>
      </c>
      <c r="AC50" s="126" t="e">
        <f t="shared" si="19"/>
        <v>#N/A</v>
      </c>
      <c r="AD50" s="126"/>
      <c r="AE50" s="126"/>
      <c r="AF50" s="126"/>
      <c r="AG50" s="126"/>
      <c r="AH50" s="126"/>
      <c r="AI50" s="126">
        <f t="shared" si="20"/>
        <v>0</v>
      </c>
      <c r="AJ50" s="126"/>
      <c r="AK50" s="94" t="e">
        <f t="shared" si="21"/>
        <v>#N/A</v>
      </c>
      <c r="AL50" s="94" t="e">
        <f t="shared" si="22"/>
        <v>#N/A</v>
      </c>
      <c r="AM50" s="94" t="e">
        <f t="shared" si="23"/>
        <v>#N/A</v>
      </c>
      <c r="AN50" s="94" t="e">
        <f t="shared" si="24"/>
        <v>#N/A</v>
      </c>
      <c r="AO50" s="95">
        <f t="shared" si="25"/>
        <v>0</v>
      </c>
      <c r="AP50" s="126" t="e">
        <f t="shared" si="26"/>
        <v>#N/A</v>
      </c>
      <c r="AQ50" s="126" t="e">
        <f t="shared" si="27"/>
        <v>#N/A</v>
      </c>
      <c r="AR50" s="126" t="e">
        <f t="shared" si="28"/>
        <v>#N/A</v>
      </c>
      <c r="AS50" s="126" t="e">
        <f t="shared" si="29"/>
        <v>#N/A</v>
      </c>
      <c r="AT50" s="126">
        <v>0</v>
      </c>
      <c r="AU50" s="126"/>
      <c r="AV50" s="126"/>
      <c r="AW50" s="126"/>
      <c r="AX50" s="126"/>
      <c r="AY50" s="126">
        <f t="shared" si="30"/>
        <v>0</v>
      </c>
      <c r="AZ50" s="127"/>
      <c r="BA50" s="127"/>
      <c r="BC50" s="27" t="e">
        <f t="shared" si="31"/>
        <v>#N/A</v>
      </c>
      <c r="BD50" s="27" t="e">
        <f t="shared" si="32"/>
        <v>#N/A</v>
      </c>
      <c r="BE50" s="27"/>
      <c r="BF50" s="27">
        <f t="shared" si="33"/>
        <v>0</v>
      </c>
      <c r="BG50" s="27"/>
      <c r="BH50" s="27" t="e">
        <f t="shared" si="34"/>
        <v>#N/A</v>
      </c>
      <c r="BI50" s="27" t="e">
        <f t="shared" si="35"/>
        <v>#N/A</v>
      </c>
      <c r="BJ50" s="27" t="e">
        <f t="shared" si="36"/>
        <v>#N/A</v>
      </c>
      <c r="BK50" s="27"/>
      <c r="BL50" s="27"/>
      <c r="BM50" s="27" t="e">
        <f t="shared" si="37"/>
        <v>#N/A</v>
      </c>
      <c r="BN50" s="27" t="e">
        <f t="shared" si="38"/>
        <v>#N/A</v>
      </c>
      <c r="BO50" s="27" t="e">
        <f t="shared" si="39"/>
        <v>#N/A</v>
      </c>
      <c r="BP50" s="27"/>
      <c r="BQ50" s="27"/>
    </row>
    <row r="51" spans="1:69" s="2" customFormat="1" x14ac:dyDescent="0.25">
      <c r="A51" s="203"/>
      <c r="B51" s="204"/>
      <c r="C51" s="144"/>
      <c r="D51" s="138" t="e">
        <f>VLOOKUP(G51,[1]!ModTbl,2,0)</f>
        <v>#N/A</v>
      </c>
      <c r="E51" s="138" t="e">
        <f>VLOOKUP(G51,[1]!ModTbl,3,0)</f>
        <v>#N/A</v>
      </c>
      <c r="F51" s="138" t="e">
        <f>VLOOKUP(G51,[1]!ModTbl,4,0)</f>
        <v>#N/A</v>
      </c>
      <c r="G51" s="145"/>
      <c r="H51" s="128"/>
      <c r="I51" s="128"/>
      <c r="J51" s="58" t="e">
        <f>VLOOKUP(G51,[1]!ModTbl,8,0)</f>
        <v>#N/A</v>
      </c>
      <c r="K51" s="58" t="e">
        <f>VLOOKUP(G51,[1]!ModTbl,9,0)</f>
        <v>#N/A</v>
      </c>
      <c r="L51" s="58" t="e">
        <f>VLOOKUP(G51,[1]!ModTbl,10,0)</f>
        <v>#N/A</v>
      </c>
      <c r="M51" s="58">
        <v>0</v>
      </c>
      <c r="N51" s="126" t="e">
        <f t="shared" si="4"/>
        <v>#N/A</v>
      </c>
      <c r="O51" s="126" t="e">
        <f t="shared" si="5"/>
        <v>#N/A</v>
      </c>
      <c r="P51" s="126" t="e">
        <f t="shared" si="6"/>
        <v>#N/A</v>
      </c>
      <c r="Q51" s="126" t="e">
        <f t="shared" si="7"/>
        <v>#N/A</v>
      </c>
      <c r="R51" s="126" t="e">
        <f t="shared" si="8"/>
        <v>#N/A</v>
      </c>
      <c r="S51" s="126" t="e">
        <f t="shared" si="9"/>
        <v>#N/A</v>
      </c>
      <c r="T51" s="126" t="e">
        <f t="shared" si="10"/>
        <v>#N/A</v>
      </c>
      <c r="U51" s="94" t="e">
        <f t="shared" si="11"/>
        <v>#N/A</v>
      </c>
      <c r="V51" s="94" t="e">
        <f t="shared" si="12"/>
        <v>#N/A</v>
      </c>
      <c r="W51" s="94" t="e">
        <f t="shared" si="13"/>
        <v>#N/A</v>
      </c>
      <c r="X51" s="94" t="e">
        <f t="shared" si="14"/>
        <v>#N/A</v>
      </c>
      <c r="Y51" s="95">
        <f t="shared" si="15"/>
        <v>0</v>
      </c>
      <c r="Z51" s="126" t="e">
        <f t="shared" si="16"/>
        <v>#N/A</v>
      </c>
      <c r="AA51" s="126" t="e">
        <f t="shared" si="17"/>
        <v>#N/A</v>
      </c>
      <c r="AB51" s="126" t="e">
        <f t="shared" si="18"/>
        <v>#N/A</v>
      </c>
      <c r="AC51" s="126" t="e">
        <f t="shared" si="19"/>
        <v>#N/A</v>
      </c>
      <c r="AD51" s="126"/>
      <c r="AE51" s="126"/>
      <c r="AF51" s="126"/>
      <c r="AG51" s="126"/>
      <c r="AH51" s="126"/>
      <c r="AI51" s="126">
        <f t="shared" si="20"/>
        <v>0</v>
      </c>
      <c r="AJ51" s="126"/>
      <c r="AK51" s="94" t="e">
        <f t="shared" si="21"/>
        <v>#N/A</v>
      </c>
      <c r="AL51" s="94" t="e">
        <f t="shared" si="22"/>
        <v>#N/A</v>
      </c>
      <c r="AM51" s="94" t="e">
        <f t="shared" si="23"/>
        <v>#N/A</v>
      </c>
      <c r="AN51" s="94" t="e">
        <f t="shared" si="24"/>
        <v>#N/A</v>
      </c>
      <c r="AO51" s="95">
        <f t="shared" si="25"/>
        <v>0</v>
      </c>
      <c r="AP51" s="126" t="e">
        <f t="shared" si="26"/>
        <v>#N/A</v>
      </c>
      <c r="AQ51" s="126" t="e">
        <f t="shared" si="27"/>
        <v>#N/A</v>
      </c>
      <c r="AR51" s="126" t="e">
        <f t="shared" si="28"/>
        <v>#N/A</v>
      </c>
      <c r="AS51" s="126" t="e">
        <f t="shared" si="29"/>
        <v>#N/A</v>
      </c>
      <c r="AT51" s="126">
        <v>0</v>
      </c>
      <c r="AU51" s="126"/>
      <c r="AV51" s="126"/>
      <c r="AW51" s="126"/>
      <c r="AX51" s="126"/>
      <c r="AY51" s="126">
        <f t="shared" si="30"/>
        <v>0</v>
      </c>
      <c r="AZ51" s="127"/>
      <c r="BA51" s="127"/>
      <c r="BC51" s="27" t="e">
        <f t="shared" si="31"/>
        <v>#N/A</v>
      </c>
      <c r="BD51" s="27" t="e">
        <f t="shared" si="32"/>
        <v>#N/A</v>
      </c>
      <c r="BE51" s="27"/>
      <c r="BF51" s="27">
        <f t="shared" si="33"/>
        <v>0</v>
      </c>
      <c r="BG51" s="27"/>
      <c r="BH51" s="27" t="e">
        <f t="shared" si="34"/>
        <v>#N/A</v>
      </c>
      <c r="BI51" s="27" t="e">
        <f t="shared" si="35"/>
        <v>#N/A</v>
      </c>
      <c r="BJ51" s="27" t="e">
        <f t="shared" si="36"/>
        <v>#N/A</v>
      </c>
      <c r="BK51" s="27"/>
      <c r="BL51" s="27"/>
      <c r="BM51" s="27" t="e">
        <f t="shared" si="37"/>
        <v>#N/A</v>
      </c>
      <c r="BN51" s="27" t="e">
        <f t="shared" si="38"/>
        <v>#N/A</v>
      </c>
      <c r="BO51" s="27" t="e">
        <f t="shared" si="39"/>
        <v>#N/A</v>
      </c>
      <c r="BP51" s="27"/>
      <c r="BQ51" s="27"/>
    </row>
    <row r="52" spans="1:69" s="2" customFormat="1" x14ac:dyDescent="0.25">
      <c r="A52" s="203"/>
      <c r="B52" s="204"/>
      <c r="C52" s="144"/>
      <c r="D52" s="138" t="e">
        <f>VLOOKUP(G52,[1]!ModTbl,2,0)</f>
        <v>#N/A</v>
      </c>
      <c r="E52" s="138" t="e">
        <f>VLOOKUP(G52,[1]!ModTbl,3,0)</f>
        <v>#N/A</v>
      </c>
      <c r="F52" s="138" t="e">
        <f>VLOOKUP(G52,[1]!ModTbl,4,0)</f>
        <v>#N/A</v>
      </c>
      <c r="G52" s="145"/>
      <c r="H52" s="128"/>
      <c r="I52" s="128"/>
      <c r="J52" s="58" t="e">
        <f>VLOOKUP(G52,[1]!ModTbl,8,0)</f>
        <v>#N/A</v>
      </c>
      <c r="K52" s="58" t="e">
        <f>VLOOKUP(G52,[1]!ModTbl,9,0)</f>
        <v>#N/A</v>
      </c>
      <c r="L52" s="58" t="e">
        <f>VLOOKUP(G52,[1]!ModTbl,10,0)</f>
        <v>#N/A</v>
      </c>
      <c r="M52" s="58">
        <v>0</v>
      </c>
      <c r="N52" s="126" t="e">
        <f t="shared" si="4"/>
        <v>#N/A</v>
      </c>
      <c r="O52" s="126" t="e">
        <f t="shared" si="5"/>
        <v>#N/A</v>
      </c>
      <c r="P52" s="126" t="e">
        <f t="shared" si="6"/>
        <v>#N/A</v>
      </c>
      <c r="Q52" s="126" t="e">
        <f t="shared" si="7"/>
        <v>#N/A</v>
      </c>
      <c r="R52" s="126" t="e">
        <f t="shared" si="8"/>
        <v>#N/A</v>
      </c>
      <c r="S52" s="126" t="e">
        <f t="shared" si="9"/>
        <v>#N/A</v>
      </c>
      <c r="T52" s="126" t="e">
        <f t="shared" si="10"/>
        <v>#N/A</v>
      </c>
      <c r="U52" s="94" t="e">
        <f t="shared" si="11"/>
        <v>#N/A</v>
      </c>
      <c r="V52" s="94" t="e">
        <f t="shared" si="12"/>
        <v>#N/A</v>
      </c>
      <c r="W52" s="94" t="e">
        <f t="shared" si="13"/>
        <v>#N/A</v>
      </c>
      <c r="X52" s="94" t="e">
        <f t="shared" si="14"/>
        <v>#N/A</v>
      </c>
      <c r="Y52" s="95">
        <f t="shared" si="15"/>
        <v>0</v>
      </c>
      <c r="Z52" s="126" t="e">
        <f t="shared" si="16"/>
        <v>#N/A</v>
      </c>
      <c r="AA52" s="126" t="e">
        <f t="shared" si="17"/>
        <v>#N/A</v>
      </c>
      <c r="AB52" s="126" t="e">
        <f t="shared" si="18"/>
        <v>#N/A</v>
      </c>
      <c r="AC52" s="126" t="e">
        <f t="shared" si="19"/>
        <v>#N/A</v>
      </c>
      <c r="AD52" s="126"/>
      <c r="AE52" s="126"/>
      <c r="AF52" s="126"/>
      <c r="AG52" s="126"/>
      <c r="AH52" s="126"/>
      <c r="AI52" s="126">
        <f t="shared" si="20"/>
        <v>0</v>
      </c>
      <c r="AJ52" s="126"/>
      <c r="AK52" s="94" t="e">
        <f t="shared" si="21"/>
        <v>#N/A</v>
      </c>
      <c r="AL52" s="94" t="e">
        <f t="shared" si="22"/>
        <v>#N/A</v>
      </c>
      <c r="AM52" s="94" t="e">
        <f t="shared" si="23"/>
        <v>#N/A</v>
      </c>
      <c r="AN52" s="94" t="e">
        <f t="shared" si="24"/>
        <v>#N/A</v>
      </c>
      <c r="AO52" s="95">
        <f t="shared" si="25"/>
        <v>0</v>
      </c>
      <c r="AP52" s="126" t="e">
        <f t="shared" si="26"/>
        <v>#N/A</v>
      </c>
      <c r="AQ52" s="126" t="e">
        <f t="shared" si="27"/>
        <v>#N/A</v>
      </c>
      <c r="AR52" s="126" t="e">
        <f t="shared" si="28"/>
        <v>#N/A</v>
      </c>
      <c r="AS52" s="126" t="e">
        <f t="shared" si="29"/>
        <v>#N/A</v>
      </c>
      <c r="AT52" s="126">
        <v>0</v>
      </c>
      <c r="AU52" s="126"/>
      <c r="AV52" s="126"/>
      <c r="AW52" s="126"/>
      <c r="AX52" s="126"/>
      <c r="AY52" s="126">
        <f t="shared" si="30"/>
        <v>0</v>
      </c>
      <c r="AZ52" s="127"/>
      <c r="BA52" s="127"/>
      <c r="BC52" s="27" t="e">
        <f t="shared" si="31"/>
        <v>#N/A</v>
      </c>
      <c r="BD52" s="27" t="e">
        <f t="shared" si="32"/>
        <v>#N/A</v>
      </c>
      <c r="BE52" s="27"/>
      <c r="BF52" s="27">
        <f t="shared" si="33"/>
        <v>0</v>
      </c>
      <c r="BG52" s="27"/>
      <c r="BH52" s="27" t="e">
        <f t="shared" si="34"/>
        <v>#N/A</v>
      </c>
      <c r="BI52" s="27" t="e">
        <f t="shared" si="35"/>
        <v>#N/A</v>
      </c>
      <c r="BJ52" s="27" t="e">
        <f t="shared" si="36"/>
        <v>#N/A</v>
      </c>
      <c r="BK52" s="27"/>
      <c r="BL52" s="27"/>
      <c r="BM52" s="27" t="e">
        <f t="shared" si="37"/>
        <v>#N/A</v>
      </c>
      <c r="BN52" s="27" t="e">
        <f t="shared" si="38"/>
        <v>#N/A</v>
      </c>
      <c r="BO52" s="27" t="e">
        <f t="shared" si="39"/>
        <v>#N/A</v>
      </c>
      <c r="BP52" s="27"/>
      <c r="BQ52" s="27"/>
    </row>
    <row r="53" spans="1:69" s="2" customFormat="1" x14ac:dyDescent="0.25">
      <c r="A53" s="128"/>
      <c r="B53" s="166"/>
      <c r="C53" s="144"/>
      <c r="D53" s="138" t="e">
        <f>VLOOKUP(G53,[1]!ModTbl,2,0)</f>
        <v>#N/A</v>
      </c>
      <c r="E53" s="138" t="e">
        <f>VLOOKUP(G53,[1]!ModTbl,3,0)</f>
        <v>#N/A</v>
      </c>
      <c r="F53" s="138" t="e">
        <f>VLOOKUP(G53,[1]!ModTbl,4,0)</f>
        <v>#N/A</v>
      </c>
      <c r="G53" s="145"/>
      <c r="H53" s="128"/>
      <c r="I53" s="128"/>
      <c r="J53" s="58" t="e">
        <f>VLOOKUP(G53,[1]!ModTbl,8,0)</f>
        <v>#N/A</v>
      </c>
      <c r="K53" s="58" t="e">
        <f>VLOOKUP(G53,[1]!ModTbl,9,0)</f>
        <v>#N/A</v>
      </c>
      <c r="L53" s="58" t="e">
        <f>VLOOKUP(G53,[1]!ModTbl,10,0)</f>
        <v>#N/A</v>
      </c>
      <c r="M53" s="58">
        <v>0</v>
      </c>
      <c r="N53" s="126" t="e">
        <f t="shared" si="4"/>
        <v>#N/A</v>
      </c>
      <c r="O53" s="126" t="e">
        <f t="shared" si="5"/>
        <v>#N/A</v>
      </c>
      <c r="P53" s="126" t="e">
        <f t="shared" si="6"/>
        <v>#N/A</v>
      </c>
      <c r="Q53" s="126" t="e">
        <f t="shared" si="7"/>
        <v>#N/A</v>
      </c>
      <c r="R53" s="126" t="e">
        <f t="shared" si="8"/>
        <v>#N/A</v>
      </c>
      <c r="S53" s="126" t="e">
        <f t="shared" si="9"/>
        <v>#N/A</v>
      </c>
      <c r="T53" s="126" t="e">
        <f t="shared" si="10"/>
        <v>#N/A</v>
      </c>
      <c r="U53" s="94" t="e">
        <f t="shared" si="11"/>
        <v>#N/A</v>
      </c>
      <c r="V53" s="94" t="e">
        <f t="shared" si="12"/>
        <v>#N/A</v>
      </c>
      <c r="W53" s="94" t="e">
        <f t="shared" si="13"/>
        <v>#N/A</v>
      </c>
      <c r="X53" s="94" t="e">
        <f t="shared" si="14"/>
        <v>#N/A</v>
      </c>
      <c r="Y53" s="95">
        <f t="shared" si="15"/>
        <v>0</v>
      </c>
      <c r="Z53" s="126" t="e">
        <f t="shared" si="16"/>
        <v>#N/A</v>
      </c>
      <c r="AA53" s="126" t="e">
        <f t="shared" si="17"/>
        <v>#N/A</v>
      </c>
      <c r="AB53" s="126" t="e">
        <f t="shared" si="18"/>
        <v>#N/A</v>
      </c>
      <c r="AC53" s="126" t="e">
        <f t="shared" si="19"/>
        <v>#N/A</v>
      </c>
      <c r="AD53" s="126"/>
      <c r="AE53" s="126"/>
      <c r="AF53" s="126"/>
      <c r="AG53" s="126"/>
      <c r="AH53" s="126"/>
      <c r="AI53" s="126">
        <f t="shared" si="20"/>
        <v>0</v>
      </c>
      <c r="AJ53" s="126"/>
      <c r="AK53" s="94" t="e">
        <f t="shared" si="21"/>
        <v>#N/A</v>
      </c>
      <c r="AL53" s="94" t="e">
        <f t="shared" si="22"/>
        <v>#N/A</v>
      </c>
      <c r="AM53" s="94" t="e">
        <f t="shared" si="23"/>
        <v>#N/A</v>
      </c>
      <c r="AN53" s="94" t="e">
        <f t="shared" si="24"/>
        <v>#N/A</v>
      </c>
      <c r="AO53" s="95">
        <f t="shared" si="25"/>
        <v>0</v>
      </c>
      <c r="AP53" s="126" t="e">
        <f t="shared" si="26"/>
        <v>#N/A</v>
      </c>
      <c r="AQ53" s="126" t="e">
        <f t="shared" si="27"/>
        <v>#N/A</v>
      </c>
      <c r="AR53" s="126" t="e">
        <f t="shared" si="28"/>
        <v>#N/A</v>
      </c>
      <c r="AS53" s="126" t="e">
        <f t="shared" si="29"/>
        <v>#N/A</v>
      </c>
      <c r="AT53" s="126">
        <v>0</v>
      </c>
      <c r="AU53" s="126"/>
      <c r="AV53" s="126"/>
      <c r="AW53" s="126"/>
      <c r="AX53" s="126"/>
      <c r="AY53" s="126">
        <f t="shared" si="30"/>
        <v>0</v>
      </c>
      <c r="AZ53" s="127"/>
      <c r="BA53" s="127"/>
      <c r="BC53" s="27" t="e">
        <f t="shared" si="31"/>
        <v>#N/A</v>
      </c>
      <c r="BD53" s="27" t="e">
        <f t="shared" si="32"/>
        <v>#N/A</v>
      </c>
      <c r="BE53" s="27"/>
      <c r="BF53" s="27">
        <f t="shared" si="33"/>
        <v>0</v>
      </c>
      <c r="BG53" s="27"/>
      <c r="BH53" s="27" t="e">
        <f t="shared" si="34"/>
        <v>#N/A</v>
      </c>
      <c r="BI53" s="27" t="e">
        <f t="shared" si="35"/>
        <v>#N/A</v>
      </c>
      <c r="BJ53" s="27" t="e">
        <f t="shared" si="36"/>
        <v>#N/A</v>
      </c>
      <c r="BK53" s="27"/>
      <c r="BL53" s="27"/>
      <c r="BM53" s="27" t="e">
        <f t="shared" si="37"/>
        <v>#N/A</v>
      </c>
      <c r="BN53" s="27" t="e">
        <f t="shared" si="38"/>
        <v>#N/A</v>
      </c>
      <c r="BO53" s="27" t="e">
        <f t="shared" si="39"/>
        <v>#N/A</v>
      </c>
      <c r="BP53" s="27"/>
      <c r="BQ53" s="27"/>
    </row>
    <row r="54" spans="1:69" s="2" customFormat="1" x14ac:dyDescent="0.25">
      <c r="A54" s="128"/>
      <c r="B54" s="166"/>
      <c r="C54" s="144"/>
      <c r="D54" s="138" t="e">
        <f>VLOOKUP(G54,[1]!ModTbl,2,0)</f>
        <v>#N/A</v>
      </c>
      <c r="E54" s="138" t="e">
        <f>VLOOKUP(G54,[1]!ModTbl,3,0)</f>
        <v>#N/A</v>
      </c>
      <c r="F54" s="138" t="e">
        <f>VLOOKUP(G54,[1]!ModTbl,4,0)</f>
        <v>#N/A</v>
      </c>
      <c r="G54" s="145"/>
      <c r="H54" s="128"/>
      <c r="I54" s="128"/>
      <c r="J54" s="58" t="e">
        <f>VLOOKUP(G54,[1]!ModTbl,8,0)</f>
        <v>#N/A</v>
      </c>
      <c r="K54" s="58" t="e">
        <f>VLOOKUP(G54,[1]!ModTbl,9,0)</f>
        <v>#N/A</v>
      </c>
      <c r="L54" s="58" t="e">
        <f>VLOOKUP(G54,[1]!ModTbl,10,0)</f>
        <v>#N/A</v>
      </c>
      <c r="M54" s="58">
        <v>0</v>
      </c>
      <c r="N54" s="126" t="e">
        <f t="shared" si="4"/>
        <v>#N/A</v>
      </c>
      <c r="O54" s="126" t="e">
        <f t="shared" si="5"/>
        <v>#N/A</v>
      </c>
      <c r="P54" s="126" t="e">
        <f t="shared" si="6"/>
        <v>#N/A</v>
      </c>
      <c r="Q54" s="126" t="e">
        <f t="shared" si="7"/>
        <v>#N/A</v>
      </c>
      <c r="R54" s="126" t="e">
        <f t="shared" si="8"/>
        <v>#N/A</v>
      </c>
      <c r="S54" s="126" t="e">
        <f t="shared" si="9"/>
        <v>#N/A</v>
      </c>
      <c r="T54" s="126" t="e">
        <f t="shared" si="10"/>
        <v>#N/A</v>
      </c>
      <c r="U54" s="94" t="e">
        <f t="shared" si="11"/>
        <v>#N/A</v>
      </c>
      <c r="V54" s="94" t="e">
        <f t="shared" si="12"/>
        <v>#N/A</v>
      </c>
      <c r="W54" s="94" t="e">
        <f t="shared" si="13"/>
        <v>#N/A</v>
      </c>
      <c r="X54" s="94" t="e">
        <f t="shared" si="14"/>
        <v>#N/A</v>
      </c>
      <c r="Y54" s="95">
        <f t="shared" si="15"/>
        <v>0</v>
      </c>
      <c r="Z54" s="126" t="e">
        <f t="shared" si="16"/>
        <v>#N/A</v>
      </c>
      <c r="AA54" s="126" t="e">
        <f t="shared" si="17"/>
        <v>#N/A</v>
      </c>
      <c r="AB54" s="126" t="e">
        <f t="shared" si="18"/>
        <v>#N/A</v>
      </c>
      <c r="AC54" s="126" t="e">
        <f t="shared" si="19"/>
        <v>#N/A</v>
      </c>
      <c r="AD54" s="126"/>
      <c r="AE54" s="126"/>
      <c r="AF54" s="126"/>
      <c r="AG54" s="126"/>
      <c r="AH54" s="126"/>
      <c r="AI54" s="126">
        <f t="shared" si="20"/>
        <v>0</v>
      </c>
      <c r="AJ54" s="126"/>
      <c r="AK54" s="94" t="e">
        <f t="shared" si="21"/>
        <v>#N/A</v>
      </c>
      <c r="AL54" s="94" t="e">
        <f t="shared" si="22"/>
        <v>#N/A</v>
      </c>
      <c r="AM54" s="94" t="e">
        <f t="shared" si="23"/>
        <v>#N/A</v>
      </c>
      <c r="AN54" s="94" t="e">
        <f t="shared" si="24"/>
        <v>#N/A</v>
      </c>
      <c r="AO54" s="95">
        <f t="shared" si="25"/>
        <v>0</v>
      </c>
      <c r="AP54" s="126" t="e">
        <f t="shared" si="26"/>
        <v>#N/A</v>
      </c>
      <c r="AQ54" s="126" t="e">
        <f t="shared" si="27"/>
        <v>#N/A</v>
      </c>
      <c r="AR54" s="126" t="e">
        <f t="shared" si="28"/>
        <v>#N/A</v>
      </c>
      <c r="AS54" s="126" t="e">
        <f t="shared" si="29"/>
        <v>#N/A</v>
      </c>
      <c r="AT54" s="126">
        <v>0</v>
      </c>
      <c r="AU54" s="126"/>
      <c r="AV54" s="126"/>
      <c r="AW54" s="126"/>
      <c r="AX54" s="126"/>
      <c r="AY54" s="126">
        <f t="shared" si="30"/>
        <v>0</v>
      </c>
      <c r="AZ54" s="127"/>
      <c r="BA54" s="127"/>
      <c r="BC54" s="27" t="e">
        <f t="shared" si="31"/>
        <v>#N/A</v>
      </c>
      <c r="BD54" s="27" t="e">
        <f t="shared" si="32"/>
        <v>#N/A</v>
      </c>
      <c r="BE54" s="27"/>
      <c r="BF54" s="27">
        <f t="shared" si="33"/>
        <v>0</v>
      </c>
      <c r="BG54" s="27"/>
      <c r="BH54" s="27" t="e">
        <f t="shared" si="34"/>
        <v>#N/A</v>
      </c>
      <c r="BI54" s="27" t="e">
        <f t="shared" si="35"/>
        <v>#N/A</v>
      </c>
      <c r="BJ54" s="27" t="e">
        <f t="shared" si="36"/>
        <v>#N/A</v>
      </c>
      <c r="BK54" s="27"/>
      <c r="BL54" s="27"/>
      <c r="BM54" s="27" t="e">
        <f t="shared" si="37"/>
        <v>#N/A</v>
      </c>
      <c r="BN54" s="27" t="e">
        <f t="shared" si="38"/>
        <v>#N/A</v>
      </c>
      <c r="BO54" s="27" t="e">
        <f t="shared" si="39"/>
        <v>#N/A</v>
      </c>
      <c r="BP54" s="27"/>
      <c r="BQ54" s="27"/>
    </row>
    <row r="55" spans="1:69" s="2" customFormat="1" x14ac:dyDescent="0.25">
      <c r="A55" s="128"/>
      <c r="B55" s="166"/>
      <c r="C55" s="144"/>
      <c r="D55" s="138" t="e">
        <f>VLOOKUP(G55,[1]!ModTbl,2,0)</f>
        <v>#N/A</v>
      </c>
      <c r="E55" s="138" t="e">
        <f>VLOOKUP(G55,[1]!ModTbl,3,0)</f>
        <v>#N/A</v>
      </c>
      <c r="F55" s="138" t="e">
        <f>VLOOKUP(G55,[1]!ModTbl,4,0)</f>
        <v>#N/A</v>
      </c>
      <c r="G55" s="145"/>
      <c r="H55" s="128"/>
      <c r="I55" s="128"/>
      <c r="J55" s="58" t="e">
        <f>VLOOKUP(G55,[1]!ModTbl,8,0)</f>
        <v>#N/A</v>
      </c>
      <c r="K55" s="58" t="e">
        <f>VLOOKUP(G55,[1]!ModTbl,9,0)</f>
        <v>#N/A</v>
      </c>
      <c r="L55" s="58" t="e">
        <f>VLOOKUP(G55,[1]!ModTbl,10,0)</f>
        <v>#N/A</v>
      </c>
      <c r="M55" s="58">
        <v>0</v>
      </c>
      <c r="N55" s="126" t="e">
        <f t="shared" si="4"/>
        <v>#N/A</v>
      </c>
      <c r="O55" s="126" t="e">
        <f t="shared" si="5"/>
        <v>#N/A</v>
      </c>
      <c r="P55" s="126" t="e">
        <f t="shared" si="6"/>
        <v>#N/A</v>
      </c>
      <c r="Q55" s="126" t="e">
        <f t="shared" si="7"/>
        <v>#N/A</v>
      </c>
      <c r="R55" s="126" t="e">
        <f t="shared" si="8"/>
        <v>#N/A</v>
      </c>
      <c r="S55" s="126" t="e">
        <f t="shared" si="9"/>
        <v>#N/A</v>
      </c>
      <c r="T55" s="126" t="e">
        <f t="shared" si="10"/>
        <v>#N/A</v>
      </c>
      <c r="U55" s="94" t="e">
        <f t="shared" si="11"/>
        <v>#N/A</v>
      </c>
      <c r="V55" s="94" t="e">
        <f t="shared" si="12"/>
        <v>#N/A</v>
      </c>
      <c r="W55" s="94" t="e">
        <f t="shared" si="13"/>
        <v>#N/A</v>
      </c>
      <c r="X55" s="94" t="e">
        <f t="shared" si="14"/>
        <v>#N/A</v>
      </c>
      <c r="Y55" s="95">
        <f t="shared" si="15"/>
        <v>0</v>
      </c>
      <c r="Z55" s="126" t="e">
        <f t="shared" si="16"/>
        <v>#N/A</v>
      </c>
      <c r="AA55" s="126" t="e">
        <f t="shared" si="17"/>
        <v>#N/A</v>
      </c>
      <c r="AB55" s="126" t="e">
        <f t="shared" si="18"/>
        <v>#N/A</v>
      </c>
      <c r="AC55" s="126" t="e">
        <f t="shared" si="19"/>
        <v>#N/A</v>
      </c>
      <c r="AD55" s="126"/>
      <c r="AE55" s="126"/>
      <c r="AF55" s="126"/>
      <c r="AG55" s="126"/>
      <c r="AH55" s="126"/>
      <c r="AI55" s="126">
        <f t="shared" si="20"/>
        <v>0</v>
      </c>
      <c r="AJ55" s="126"/>
      <c r="AK55" s="94" t="e">
        <f t="shared" si="21"/>
        <v>#N/A</v>
      </c>
      <c r="AL55" s="94" t="e">
        <f t="shared" si="22"/>
        <v>#N/A</v>
      </c>
      <c r="AM55" s="94" t="e">
        <f t="shared" si="23"/>
        <v>#N/A</v>
      </c>
      <c r="AN55" s="94" t="e">
        <f t="shared" si="24"/>
        <v>#N/A</v>
      </c>
      <c r="AO55" s="95">
        <f t="shared" si="25"/>
        <v>0</v>
      </c>
      <c r="AP55" s="126" t="e">
        <f t="shared" si="26"/>
        <v>#N/A</v>
      </c>
      <c r="AQ55" s="126" t="e">
        <f t="shared" si="27"/>
        <v>#N/A</v>
      </c>
      <c r="AR55" s="126" t="e">
        <f t="shared" si="28"/>
        <v>#N/A</v>
      </c>
      <c r="AS55" s="126" t="e">
        <f t="shared" si="29"/>
        <v>#N/A</v>
      </c>
      <c r="AT55" s="126">
        <v>0</v>
      </c>
      <c r="AU55" s="126"/>
      <c r="AV55" s="126"/>
      <c r="AW55" s="126"/>
      <c r="AX55" s="126"/>
      <c r="AY55" s="126">
        <f t="shared" si="30"/>
        <v>0</v>
      </c>
      <c r="AZ55" s="127"/>
      <c r="BA55" s="127"/>
      <c r="BC55" s="27" t="e">
        <f t="shared" si="31"/>
        <v>#N/A</v>
      </c>
      <c r="BD55" s="27" t="e">
        <f t="shared" si="32"/>
        <v>#N/A</v>
      </c>
      <c r="BE55" s="27"/>
      <c r="BF55" s="27">
        <f t="shared" si="33"/>
        <v>0</v>
      </c>
      <c r="BG55" s="27"/>
      <c r="BH55" s="27" t="e">
        <f t="shared" si="34"/>
        <v>#N/A</v>
      </c>
      <c r="BI55" s="27" t="e">
        <f t="shared" si="35"/>
        <v>#N/A</v>
      </c>
      <c r="BJ55" s="27" t="e">
        <f t="shared" si="36"/>
        <v>#N/A</v>
      </c>
      <c r="BK55" s="27"/>
      <c r="BL55" s="27"/>
      <c r="BM55" s="27" t="e">
        <f t="shared" si="37"/>
        <v>#N/A</v>
      </c>
      <c r="BN55" s="27" t="e">
        <f t="shared" si="38"/>
        <v>#N/A</v>
      </c>
      <c r="BO55" s="27" t="e">
        <f t="shared" si="39"/>
        <v>#N/A</v>
      </c>
      <c r="BP55" s="27"/>
      <c r="BQ55" s="27"/>
    </row>
    <row r="56" spans="1:69" s="2" customFormat="1" x14ac:dyDescent="0.25">
      <c r="A56" s="128"/>
      <c r="B56" s="166"/>
      <c r="C56" s="144"/>
      <c r="D56" s="138" t="e">
        <f>VLOOKUP(G56,[1]!ModTbl,2,0)</f>
        <v>#N/A</v>
      </c>
      <c r="E56" s="138" t="e">
        <f>VLOOKUP(G56,[1]!ModTbl,3,0)</f>
        <v>#N/A</v>
      </c>
      <c r="F56" s="138" t="e">
        <f>VLOOKUP(G56,[1]!ModTbl,4,0)</f>
        <v>#N/A</v>
      </c>
      <c r="G56" s="145"/>
      <c r="H56" s="128"/>
      <c r="I56" s="128"/>
      <c r="J56" s="58" t="e">
        <f>VLOOKUP(G56,[1]!ModTbl,8,0)</f>
        <v>#N/A</v>
      </c>
      <c r="K56" s="58" t="e">
        <f>VLOOKUP(G56,[1]!ModTbl,9,0)</f>
        <v>#N/A</v>
      </c>
      <c r="L56" s="58" t="e">
        <f>VLOOKUP(G56,[1]!ModTbl,10,0)</f>
        <v>#N/A</v>
      </c>
      <c r="M56" s="58">
        <v>0</v>
      </c>
      <c r="N56" s="126" t="e">
        <f t="shared" si="4"/>
        <v>#N/A</v>
      </c>
      <c r="O56" s="126" t="e">
        <f t="shared" si="5"/>
        <v>#N/A</v>
      </c>
      <c r="P56" s="126" t="e">
        <f t="shared" si="6"/>
        <v>#N/A</v>
      </c>
      <c r="Q56" s="126" t="e">
        <f t="shared" si="7"/>
        <v>#N/A</v>
      </c>
      <c r="R56" s="126" t="e">
        <f t="shared" si="8"/>
        <v>#N/A</v>
      </c>
      <c r="S56" s="126" t="e">
        <f t="shared" si="9"/>
        <v>#N/A</v>
      </c>
      <c r="T56" s="126" t="e">
        <f t="shared" si="10"/>
        <v>#N/A</v>
      </c>
      <c r="U56" s="94" t="e">
        <f t="shared" si="11"/>
        <v>#N/A</v>
      </c>
      <c r="V56" s="94" t="e">
        <f t="shared" si="12"/>
        <v>#N/A</v>
      </c>
      <c r="W56" s="94" t="e">
        <f t="shared" si="13"/>
        <v>#N/A</v>
      </c>
      <c r="X56" s="94" t="e">
        <f t="shared" si="14"/>
        <v>#N/A</v>
      </c>
      <c r="Y56" s="95">
        <f t="shared" si="15"/>
        <v>0</v>
      </c>
      <c r="Z56" s="126" t="e">
        <f t="shared" si="16"/>
        <v>#N/A</v>
      </c>
      <c r="AA56" s="126" t="e">
        <f t="shared" si="17"/>
        <v>#N/A</v>
      </c>
      <c r="AB56" s="126" t="e">
        <f t="shared" si="18"/>
        <v>#N/A</v>
      </c>
      <c r="AC56" s="126" t="e">
        <f t="shared" si="19"/>
        <v>#N/A</v>
      </c>
      <c r="AD56" s="126"/>
      <c r="AE56" s="126"/>
      <c r="AF56" s="126"/>
      <c r="AG56" s="126"/>
      <c r="AH56" s="126"/>
      <c r="AI56" s="126">
        <f t="shared" si="20"/>
        <v>0</v>
      </c>
      <c r="AJ56" s="126"/>
      <c r="AK56" s="94" t="e">
        <f t="shared" si="21"/>
        <v>#N/A</v>
      </c>
      <c r="AL56" s="94" t="e">
        <f t="shared" si="22"/>
        <v>#N/A</v>
      </c>
      <c r="AM56" s="94" t="e">
        <f t="shared" si="23"/>
        <v>#N/A</v>
      </c>
      <c r="AN56" s="94" t="e">
        <f t="shared" si="24"/>
        <v>#N/A</v>
      </c>
      <c r="AO56" s="95">
        <f t="shared" si="25"/>
        <v>0</v>
      </c>
      <c r="AP56" s="126" t="e">
        <f t="shared" si="26"/>
        <v>#N/A</v>
      </c>
      <c r="AQ56" s="126" t="e">
        <f t="shared" si="27"/>
        <v>#N/A</v>
      </c>
      <c r="AR56" s="126" t="e">
        <f t="shared" si="28"/>
        <v>#N/A</v>
      </c>
      <c r="AS56" s="126" t="e">
        <f t="shared" si="29"/>
        <v>#N/A</v>
      </c>
      <c r="AT56" s="126">
        <v>0</v>
      </c>
      <c r="AU56" s="126"/>
      <c r="AV56" s="126"/>
      <c r="AW56" s="126"/>
      <c r="AX56" s="126"/>
      <c r="AY56" s="126">
        <f t="shared" si="30"/>
        <v>0</v>
      </c>
      <c r="AZ56" s="127"/>
      <c r="BA56" s="127"/>
      <c r="BC56" s="27" t="e">
        <f t="shared" si="31"/>
        <v>#N/A</v>
      </c>
      <c r="BD56" s="27" t="e">
        <f t="shared" si="32"/>
        <v>#N/A</v>
      </c>
      <c r="BE56" s="27"/>
      <c r="BF56" s="27">
        <f t="shared" si="33"/>
        <v>0</v>
      </c>
      <c r="BG56" s="27"/>
      <c r="BH56" s="27" t="e">
        <f t="shared" si="34"/>
        <v>#N/A</v>
      </c>
      <c r="BI56" s="27" t="e">
        <f t="shared" si="35"/>
        <v>#N/A</v>
      </c>
      <c r="BJ56" s="27" t="e">
        <f t="shared" si="36"/>
        <v>#N/A</v>
      </c>
      <c r="BK56" s="27"/>
      <c r="BL56" s="27"/>
      <c r="BM56" s="27" t="e">
        <f t="shared" si="37"/>
        <v>#N/A</v>
      </c>
      <c r="BN56" s="27" t="e">
        <f t="shared" si="38"/>
        <v>#N/A</v>
      </c>
      <c r="BO56" s="27" t="e">
        <f t="shared" si="39"/>
        <v>#N/A</v>
      </c>
      <c r="BP56" s="27"/>
      <c r="BQ56" s="27"/>
    </row>
    <row r="57" spans="1:69" s="2" customFormat="1" x14ac:dyDescent="0.25">
      <c r="A57" s="203"/>
      <c r="B57" s="204"/>
      <c r="C57" s="144"/>
      <c r="D57" s="138" t="e">
        <f>VLOOKUP(G57,[1]!ModTbl,2,0)</f>
        <v>#N/A</v>
      </c>
      <c r="E57" s="138" t="e">
        <f>VLOOKUP(G57,[1]!ModTbl,3,0)</f>
        <v>#N/A</v>
      </c>
      <c r="F57" s="138" t="e">
        <f>VLOOKUP(G57,[1]!ModTbl,4,0)</f>
        <v>#N/A</v>
      </c>
      <c r="G57" s="145"/>
      <c r="H57" s="128"/>
      <c r="I57" s="128"/>
      <c r="J57" s="58" t="e">
        <f>VLOOKUP(G57,[1]!ModTbl,8,0)</f>
        <v>#N/A</v>
      </c>
      <c r="K57" s="58" t="e">
        <f>VLOOKUP(G57,[1]!ModTbl,9,0)</f>
        <v>#N/A</v>
      </c>
      <c r="L57" s="58" t="e">
        <f>VLOOKUP(G57,[1]!ModTbl,10,0)</f>
        <v>#N/A</v>
      </c>
      <c r="M57" s="58">
        <v>0</v>
      </c>
      <c r="N57" s="126" t="e">
        <f t="shared" si="4"/>
        <v>#N/A</v>
      </c>
      <c r="O57" s="126" t="e">
        <f t="shared" si="5"/>
        <v>#N/A</v>
      </c>
      <c r="P57" s="126" t="e">
        <f t="shared" si="6"/>
        <v>#N/A</v>
      </c>
      <c r="Q57" s="126" t="e">
        <f t="shared" si="7"/>
        <v>#N/A</v>
      </c>
      <c r="R57" s="126" t="e">
        <f t="shared" si="8"/>
        <v>#N/A</v>
      </c>
      <c r="S57" s="126" t="e">
        <f t="shared" si="9"/>
        <v>#N/A</v>
      </c>
      <c r="T57" s="126" t="e">
        <f t="shared" si="10"/>
        <v>#N/A</v>
      </c>
      <c r="U57" s="94" t="e">
        <f t="shared" si="11"/>
        <v>#N/A</v>
      </c>
      <c r="V57" s="94" t="e">
        <f t="shared" si="12"/>
        <v>#N/A</v>
      </c>
      <c r="W57" s="94" t="e">
        <f t="shared" si="13"/>
        <v>#N/A</v>
      </c>
      <c r="X57" s="94" t="e">
        <f t="shared" si="14"/>
        <v>#N/A</v>
      </c>
      <c r="Y57" s="95">
        <f t="shared" si="15"/>
        <v>0</v>
      </c>
      <c r="Z57" s="126" t="e">
        <f t="shared" si="16"/>
        <v>#N/A</v>
      </c>
      <c r="AA57" s="126" t="e">
        <f t="shared" si="17"/>
        <v>#N/A</v>
      </c>
      <c r="AB57" s="126" t="e">
        <f t="shared" si="18"/>
        <v>#N/A</v>
      </c>
      <c r="AC57" s="126" t="e">
        <f t="shared" si="19"/>
        <v>#N/A</v>
      </c>
      <c r="AD57" s="126"/>
      <c r="AE57" s="126"/>
      <c r="AF57" s="126"/>
      <c r="AG57" s="126"/>
      <c r="AH57" s="126"/>
      <c r="AI57" s="126">
        <f t="shared" si="20"/>
        <v>0</v>
      </c>
      <c r="AJ57" s="126"/>
      <c r="AK57" s="94" t="e">
        <f t="shared" si="21"/>
        <v>#N/A</v>
      </c>
      <c r="AL57" s="94" t="e">
        <f t="shared" si="22"/>
        <v>#N/A</v>
      </c>
      <c r="AM57" s="94" t="e">
        <f t="shared" si="23"/>
        <v>#N/A</v>
      </c>
      <c r="AN57" s="94" t="e">
        <f t="shared" si="24"/>
        <v>#N/A</v>
      </c>
      <c r="AO57" s="95">
        <f t="shared" si="25"/>
        <v>0</v>
      </c>
      <c r="AP57" s="126" t="e">
        <f t="shared" si="26"/>
        <v>#N/A</v>
      </c>
      <c r="AQ57" s="126" t="e">
        <f t="shared" si="27"/>
        <v>#N/A</v>
      </c>
      <c r="AR57" s="126" t="e">
        <f t="shared" si="28"/>
        <v>#N/A</v>
      </c>
      <c r="AS57" s="126" t="e">
        <f t="shared" si="29"/>
        <v>#N/A</v>
      </c>
      <c r="AT57" s="126">
        <v>0</v>
      </c>
      <c r="AU57" s="126"/>
      <c r="AV57" s="126"/>
      <c r="AW57" s="126"/>
      <c r="AX57" s="126"/>
      <c r="AY57" s="126">
        <f t="shared" si="30"/>
        <v>0</v>
      </c>
      <c r="AZ57" s="127"/>
      <c r="BA57" s="127"/>
      <c r="BC57" s="27" t="e">
        <f t="shared" si="31"/>
        <v>#N/A</v>
      </c>
      <c r="BD57" s="27" t="e">
        <f t="shared" si="32"/>
        <v>#N/A</v>
      </c>
      <c r="BE57" s="27"/>
      <c r="BF57" s="27">
        <f t="shared" si="33"/>
        <v>0</v>
      </c>
      <c r="BG57" s="27"/>
      <c r="BH57" s="27" t="e">
        <f t="shared" si="34"/>
        <v>#N/A</v>
      </c>
      <c r="BI57" s="27" t="e">
        <f t="shared" si="35"/>
        <v>#N/A</v>
      </c>
      <c r="BJ57" s="27" t="e">
        <f t="shared" si="36"/>
        <v>#N/A</v>
      </c>
      <c r="BK57" s="27"/>
      <c r="BL57" s="27"/>
      <c r="BM57" s="27" t="e">
        <f t="shared" si="37"/>
        <v>#N/A</v>
      </c>
      <c r="BN57" s="27" t="e">
        <f t="shared" si="38"/>
        <v>#N/A</v>
      </c>
      <c r="BO57" s="27" t="e">
        <f t="shared" si="39"/>
        <v>#N/A</v>
      </c>
      <c r="BP57" s="27"/>
      <c r="BQ57" s="27"/>
    </row>
    <row r="58" spans="1:69" x14ac:dyDescent="0.25">
      <c r="A58" s="203"/>
      <c r="B58" s="204"/>
      <c r="C58" s="144"/>
      <c r="D58" s="138" t="e">
        <f>VLOOKUP(G58,[1]!ModTbl,2,0)</f>
        <v>#N/A</v>
      </c>
      <c r="E58" s="138" t="e">
        <f>VLOOKUP(G58,[1]!ModTbl,3,0)</f>
        <v>#N/A</v>
      </c>
      <c r="F58" s="138" t="e">
        <f>VLOOKUP(G58,[1]!ModTbl,4,0)</f>
        <v>#N/A</v>
      </c>
      <c r="G58" s="145"/>
      <c r="H58" s="128"/>
      <c r="I58" s="128"/>
      <c r="J58" s="58" t="e">
        <f>VLOOKUP(G58,[1]!ModTbl,8,0)</f>
        <v>#N/A</v>
      </c>
      <c r="K58" s="58" t="e">
        <f>VLOOKUP(G58,[1]!ModTbl,9,0)</f>
        <v>#N/A</v>
      </c>
      <c r="L58" s="58" t="e">
        <f>VLOOKUP(G58,[1]!ModTbl,10,0)</f>
        <v>#N/A</v>
      </c>
      <c r="M58" s="58">
        <v>0</v>
      </c>
      <c r="N58" s="126" t="e">
        <f t="shared" ref="N58:N95" si="40">SUM(J58:L58)</f>
        <v>#N/A</v>
      </c>
      <c r="O58" s="126" t="e">
        <f t="shared" si="5"/>
        <v>#N/A</v>
      </c>
      <c r="P58" s="126" t="e">
        <f t="shared" si="6"/>
        <v>#N/A</v>
      </c>
      <c r="Q58" s="126" t="e">
        <f t="shared" si="7"/>
        <v>#N/A</v>
      </c>
      <c r="R58" s="126" t="e">
        <f t="shared" si="8"/>
        <v>#N/A</v>
      </c>
      <c r="S58" s="126" t="e">
        <f t="shared" si="9"/>
        <v>#N/A</v>
      </c>
      <c r="T58" s="126" t="e">
        <f t="shared" si="10"/>
        <v>#N/A</v>
      </c>
      <c r="U58" s="94" t="e">
        <f t="shared" si="11"/>
        <v>#N/A</v>
      </c>
      <c r="V58" s="94" t="e">
        <f t="shared" si="12"/>
        <v>#N/A</v>
      </c>
      <c r="W58" s="94" t="e">
        <f t="shared" si="13"/>
        <v>#N/A</v>
      </c>
      <c r="X58" s="94" t="e">
        <f t="shared" si="14"/>
        <v>#N/A</v>
      </c>
      <c r="Y58" s="95">
        <f t="shared" si="15"/>
        <v>0</v>
      </c>
      <c r="Z58" s="126" t="e">
        <f t="shared" si="16"/>
        <v>#N/A</v>
      </c>
      <c r="AA58" s="126" t="e">
        <f t="shared" si="17"/>
        <v>#N/A</v>
      </c>
      <c r="AB58" s="126" t="e">
        <f t="shared" si="18"/>
        <v>#N/A</v>
      </c>
      <c r="AC58" s="126" t="e">
        <f t="shared" si="19"/>
        <v>#N/A</v>
      </c>
      <c r="AD58" s="126"/>
      <c r="AE58" s="126"/>
      <c r="AF58" s="126"/>
      <c r="AG58" s="126"/>
      <c r="AH58" s="126"/>
      <c r="AI58" s="126">
        <f t="shared" ref="AI58:AI95" si="41">SUM(AE58:AH58)</f>
        <v>0</v>
      </c>
      <c r="AJ58" s="126"/>
      <c r="AK58" s="94" t="e">
        <f t="shared" si="21"/>
        <v>#N/A</v>
      </c>
      <c r="AL58" s="94" t="e">
        <f t="shared" si="22"/>
        <v>#N/A</v>
      </c>
      <c r="AM58" s="94" t="e">
        <f t="shared" si="23"/>
        <v>#N/A</v>
      </c>
      <c r="AN58" s="94" t="e">
        <f t="shared" si="24"/>
        <v>#N/A</v>
      </c>
      <c r="AO58" s="95">
        <f t="shared" si="25"/>
        <v>0</v>
      </c>
      <c r="AP58" s="126" t="e">
        <f t="shared" si="26"/>
        <v>#N/A</v>
      </c>
      <c r="AQ58" s="126" t="e">
        <f t="shared" si="27"/>
        <v>#N/A</v>
      </c>
      <c r="AR58" s="126" t="e">
        <f t="shared" si="28"/>
        <v>#N/A</v>
      </c>
      <c r="AS58" s="126" t="e">
        <f t="shared" si="29"/>
        <v>#N/A</v>
      </c>
      <c r="AT58" s="126">
        <v>0</v>
      </c>
      <c r="AU58" s="126"/>
      <c r="AV58" s="126"/>
      <c r="AW58" s="126"/>
      <c r="AX58" s="126"/>
      <c r="AY58" s="126">
        <f t="shared" si="30"/>
        <v>0</v>
      </c>
      <c r="AZ58" s="127"/>
      <c r="BA58" s="127"/>
      <c r="BB58" s="2"/>
      <c r="BC58" s="27" t="e">
        <f t="shared" si="31"/>
        <v>#N/A</v>
      </c>
      <c r="BD58" s="27" t="e">
        <f t="shared" si="32"/>
        <v>#N/A</v>
      </c>
      <c r="BE58" s="27"/>
      <c r="BF58" s="27">
        <f t="shared" si="33"/>
        <v>0</v>
      </c>
      <c r="BG58" s="27"/>
      <c r="BH58" s="27" t="e">
        <f t="shared" si="34"/>
        <v>#N/A</v>
      </c>
      <c r="BI58" s="27" t="e">
        <f t="shared" si="35"/>
        <v>#N/A</v>
      </c>
      <c r="BJ58" s="27" t="e">
        <f t="shared" si="36"/>
        <v>#N/A</v>
      </c>
      <c r="BK58" s="27"/>
      <c r="BL58" s="27"/>
      <c r="BM58" s="27" t="e">
        <f t="shared" si="37"/>
        <v>#N/A</v>
      </c>
      <c r="BN58" s="27" t="e">
        <f t="shared" si="38"/>
        <v>#N/A</v>
      </c>
      <c r="BO58" s="27" t="e">
        <f t="shared" si="39"/>
        <v>#N/A</v>
      </c>
      <c r="BP58" s="27"/>
      <c r="BQ58" s="27"/>
    </row>
    <row r="59" spans="1:69" x14ac:dyDescent="0.25">
      <c r="A59" s="203"/>
      <c r="B59" s="204"/>
      <c r="C59" s="144"/>
      <c r="D59" s="138" t="e">
        <f>VLOOKUP(G59,[1]!ModTbl,2,0)</f>
        <v>#N/A</v>
      </c>
      <c r="E59" s="138" t="e">
        <f>VLOOKUP(G59,[1]!ModTbl,3,0)</f>
        <v>#N/A</v>
      </c>
      <c r="F59" s="138" t="e">
        <f>VLOOKUP(G59,[1]!ModTbl,4,0)</f>
        <v>#N/A</v>
      </c>
      <c r="G59" s="145"/>
      <c r="H59" s="128"/>
      <c r="I59" s="128"/>
      <c r="J59" s="58" t="e">
        <f>VLOOKUP(G59,[1]!ModTbl,8,0)</f>
        <v>#N/A</v>
      </c>
      <c r="K59" s="58" t="e">
        <f>VLOOKUP(G59,[1]!ModTbl,9,0)</f>
        <v>#N/A</v>
      </c>
      <c r="L59" s="58" t="e">
        <f>VLOOKUP(G59,[1]!ModTbl,10,0)</f>
        <v>#N/A</v>
      </c>
      <c r="M59" s="58">
        <v>0</v>
      </c>
      <c r="N59" s="126" t="e">
        <f t="shared" si="40"/>
        <v>#N/A</v>
      </c>
      <c r="O59" s="126" t="e">
        <f t="shared" si="5"/>
        <v>#N/A</v>
      </c>
      <c r="P59" s="126" t="e">
        <f t="shared" si="6"/>
        <v>#N/A</v>
      </c>
      <c r="Q59" s="126" t="e">
        <f t="shared" si="7"/>
        <v>#N/A</v>
      </c>
      <c r="R59" s="126" t="e">
        <f t="shared" si="8"/>
        <v>#N/A</v>
      </c>
      <c r="S59" s="126" t="e">
        <f t="shared" si="9"/>
        <v>#N/A</v>
      </c>
      <c r="T59" s="126" t="e">
        <f t="shared" si="10"/>
        <v>#N/A</v>
      </c>
      <c r="U59" s="94" t="e">
        <f t="shared" si="11"/>
        <v>#N/A</v>
      </c>
      <c r="V59" s="94" t="e">
        <f t="shared" si="12"/>
        <v>#N/A</v>
      </c>
      <c r="W59" s="94" t="e">
        <f t="shared" si="13"/>
        <v>#N/A</v>
      </c>
      <c r="X59" s="94" t="e">
        <f t="shared" si="14"/>
        <v>#N/A</v>
      </c>
      <c r="Y59" s="95">
        <f t="shared" si="15"/>
        <v>0</v>
      </c>
      <c r="Z59" s="126" t="e">
        <f t="shared" si="16"/>
        <v>#N/A</v>
      </c>
      <c r="AA59" s="126" t="e">
        <f t="shared" si="17"/>
        <v>#N/A</v>
      </c>
      <c r="AB59" s="126" t="e">
        <f t="shared" si="18"/>
        <v>#N/A</v>
      </c>
      <c r="AC59" s="126" t="e">
        <f t="shared" si="19"/>
        <v>#N/A</v>
      </c>
      <c r="AD59" s="126"/>
      <c r="AE59" s="126"/>
      <c r="AF59" s="126"/>
      <c r="AG59" s="126"/>
      <c r="AH59" s="126"/>
      <c r="AI59" s="126">
        <f t="shared" si="41"/>
        <v>0</v>
      </c>
      <c r="AJ59" s="126"/>
      <c r="AK59" s="94" t="e">
        <f t="shared" si="21"/>
        <v>#N/A</v>
      </c>
      <c r="AL59" s="94" t="e">
        <f t="shared" si="22"/>
        <v>#N/A</v>
      </c>
      <c r="AM59" s="94" t="e">
        <f t="shared" si="23"/>
        <v>#N/A</v>
      </c>
      <c r="AN59" s="94" t="e">
        <f t="shared" si="24"/>
        <v>#N/A</v>
      </c>
      <c r="AO59" s="95">
        <f t="shared" si="25"/>
        <v>0</v>
      </c>
      <c r="AP59" s="126" t="e">
        <f t="shared" si="26"/>
        <v>#N/A</v>
      </c>
      <c r="AQ59" s="126" t="e">
        <f t="shared" si="27"/>
        <v>#N/A</v>
      </c>
      <c r="AR59" s="126" t="e">
        <f t="shared" si="28"/>
        <v>#N/A</v>
      </c>
      <c r="AS59" s="126" t="e">
        <f t="shared" si="29"/>
        <v>#N/A</v>
      </c>
      <c r="AT59" s="126">
        <v>0</v>
      </c>
      <c r="AU59" s="126"/>
      <c r="AV59" s="126"/>
      <c r="AW59" s="126"/>
      <c r="AX59" s="126"/>
      <c r="AY59" s="126">
        <f t="shared" si="30"/>
        <v>0</v>
      </c>
      <c r="AZ59" s="127"/>
      <c r="BA59" s="127"/>
      <c r="BB59" s="2"/>
      <c r="BC59" s="27" t="e">
        <f t="shared" si="31"/>
        <v>#N/A</v>
      </c>
      <c r="BD59" s="27" t="e">
        <f t="shared" si="32"/>
        <v>#N/A</v>
      </c>
      <c r="BE59" s="27"/>
      <c r="BF59" s="27">
        <f t="shared" si="33"/>
        <v>0</v>
      </c>
      <c r="BG59" s="27"/>
      <c r="BH59" s="27" t="e">
        <f t="shared" si="34"/>
        <v>#N/A</v>
      </c>
      <c r="BI59" s="27" t="e">
        <f t="shared" si="35"/>
        <v>#N/A</v>
      </c>
      <c r="BJ59" s="27" t="e">
        <f t="shared" si="36"/>
        <v>#N/A</v>
      </c>
      <c r="BK59" s="27"/>
      <c r="BL59" s="27"/>
      <c r="BM59" s="27" t="e">
        <f t="shared" si="37"/>
        <v>#N/A</v>
      </c>
      <c r="BN59" s="27" t="e">
        <f t="shared" si="38"/>
        <v>#N/A</v>
      </c>
      <c r="BO59" s="27" t="e">
        <f t="shared" si="39"/>
        <v>#N/A</v>
      </c>
      <c r="BP59" s="27"/>
      <c r="BQ59" s="27"/>
    </row>
    <row r="60" spans="1:69" x14ac:dyDescent="0.25">
      <c r="A60" s="128"/>
      <c r="B60" s="166"/>
      <c r="C60" s="144"/>
      <c r="D60" s="138" t="e">
        <f>VLOOKUP(G60,[1]!ModTbl,2,0)</f>
        <v>#N/A</v>
      </c>
      <c r="E60" s="138" t="e">
        <f>VLOOKUP(G60,[1]!ModTbl,3,0)</f>
        <v>#N/A</v>
      </c>
      <c r="F60" s="138" t="e">
        <f>VLOOKUP(G60,[1]!ModTbl,4,0)</f>
        <v>#N/A</v>
      </c>
      <c r="G60" s="145"/>
      <c r="H60" s="128"/>
      <c r="I60" s="128"/>
      <c r="J60" s="58" t="e">
        <f>VLOOKUP(G60,[1]!ModTbl,8,0)</f>
        <v>#N/A</v>
      </c>
      <c r="K60" s="58" t="e">
        <f>VLOOKUP(G60,[1]!ModTbl,9,0)</f>
        <v>#N/A</v>
      </c>
      <c r="L60" s="58" t="e">
        <f>VLOOKUP(G60,[1]!ModTbl,10,0)</f>
        <v>#N/A</v>
      </c>
      <c r="M60" s="58">
        <v>0</v>
      </c>
      <c r="N60" s="126" t="e">
        <f t="shared" si="40"/>
        <v>#N/A</v>
      </c>
      <c r="O60" s="126" t="e">
        <f t="shared" si="5"/>
        <v>#N/A</v>
      </c>
      <c r="P60" s="126" t="e">
        <f t="shared" si="6"/>
        <v>#N/A</v>
      </c>
      <c r="Q60" s="126" t="e">
        <f t="shared" si="7"/>
        <v>#N/A</v>
      </c>
      <c r="R60" s="126" t="e">
        <f t="shared" si="8"/>
        <v>#N/A</v>
      </c>
      <c r="S60" s="126" t="e">
        <f t="shared" si="9"/>
        <v>#N/A</v>
      </c>
      <c r="T60" s="126" t="e">
        <f t="shared" si="10"/>
        <v>#N/A</v>
      </c>
      <c r="U60" s="94" t="e">
        <f t="shared" si="11"/>
        <v>#N/A</v>
      </c>
      <c r="V60" s="94" t="e">
        <f t="shared" si="12"/>
        <v>#N/A</v>
      </c>
      <c r="W60" s="94" t="e">
        <f t="shared" si="13"/>
        <v>#N/A</v>
      </c>
      <c r="X60" s="94" t="e">
        <f t="shared" si="14"/>
        <v>#N/A</v>
      </c>
      <c r="Y60" s="95">
        <f t="shared" si="15"/>
        <v>0</v>
      </c>
      <c r="Z60" s="126" t="e">
        <f t="shared" si="16"/>
        <v>#N/A</v>
      </c>
      <c r="AA60" s="126" t="e">
        <f t="shared" si="17"/>
        <v>#N/A</v>
      </c>
      <c r="AB60" s="126" t="e">
        <f t="shared" si="18"/>
        <v>#N/A</v>
      </c>
      <c r="AC60" s="126" t="e">
        <f t="shared" si="19"/>
        <v>#N/A</v>
      </c>
      <c r="AD60" s="126"/>
      <c r="AE60" s="126"/>
      <c r="AF60" s="126"/>
      <c r="AG60" s="126"/>
      <c r="AH60" s="126"/>
      <c r="AI60" s="126">
        <f t="shared" si="41"/>
        <v>0</v>
      </c>
      <c r="AJ60" s="126"/>
      <c r="AK60" s="94" t="e">
        <f t="shared" si="21"/>
        <v>#N/A</v>
      </c>
      <c r="AL60" s="94" t="e">
        <f t="shared" si="22"/>
        <v>#N/A</v>
      </c>
      <c r="AM60" s="94" t="e">
        <f t="shared" si="23"/>
        <v>#N/A</v>
      </c>
      <c r="AN60" s="94" t="e">
        <f t="shared" si="24"/>
        <v>#N/A</v>
      </c>
      <c r="AO60" s="95">
        <f t="shared" si="25"/>
        <v>0</v>
      </c>
      <c r="AP60" s="126" t="e">
        <f t="shared" si="26"/>
        <v>#N/A</v>
      </c>
      <c r="AQ60" s="126" t="e">
        <f t="shared" si="27"/>
        <v>#N/A</v>
      </c>
      <c r="AR60" s="126" t="e">
        <f t="shared" si="28"/>
        <v>#N/A</v>
      </c>
      <c r="AS60" s="126" t="e">
        <f t="shared" si="29"/>
        <v>#N/A</v>
      </c>
      <c r="AT60" s="126">
        <v>0</v>
      </c>
      <c r="AU60" s="126"/>
      <c r="AV60" s="126"/>
      <c r="AW60" s="126"/>
      <c r="AX60" s="126"/>
      <c r="AY60" s="126">
        <f t="shared" si="30"/>
        <v>0</v>
      </c>
      <c r="AZ60" s="127"/>
      <c r="BA60" s="127"/>
      <c r="BB60" s="2"/>
      <c r="BC60" s="27" t="e">
        <f t="shared" si="31"/>
        <v>#N/A</v>
      </c>
      <c r="BD60" s="27" t="e">
        <f t="shared" si="32"/>
        <v>#N/A</v>
      </c>
      <c r="BE60" s="27"/>
      <c r="BF60" s="27">
        <f t="shared" si="33"/>
        <v>0</v>
      </c>
      <c r="BG60" s="27"/>
      <c r="BH60" s="27" t="e">
        <f t="shared" si="34"/>
        <v>#N/A</v>
      </c>
      <c r="BI60" s="27" t="e">
        <f t="shared" si="35"/>
        <v>#N/A</v>
      </c>
      <c r="BJ60" s="27" t="e">
        <f t="shared" si="36"/>
        <v>#N/A</v>
      </c>
      <c r="BK60" s="27"/>
      <c r="BL60" s="27"/>
      <c r="BM60" s="27" t="e">
        <f t="shared" si="37"/>
        <v>#N/A</v>
      </c>
      <c r="BN60" s="27" t="e">
        <f t="shared" si="38"/>
        <v>#N/A</v>
      </c>
      <c r="BO60" s="27" t="e">
        <f t="shared" si="39"/>
        <v>#N/A</v>
      </c>
      <c r="BP60" s="27"/>
      <c r="BQ60" s="27"/>
    </row>
    <row r="61" spans="1:69" x14ac:dyDescent="0.25">
      <c r="A61" s="128"/>
      <c r="B61" s="166"/>
      <c r="C61" s="144"/>
      <c r="D61" s="138" t="e">
        <f>VLOOKUP(G61,[1]!ModTbl,2,0)</f>
        <v>#N/A</v>
      </c>
      <c r="E61" s="138" t="e">
        <f>VLOOKUP(G61,[1]!ModTbl,3,0)</f>
        <v>#N/A</v>
      </c>
      <c r="F61" s="138" t="e">
        <f>VLOOKUP(G61,[1]!ModTbl,4,0)</f>
        <v>#N/A</v>
      </c>
      <c r="G61" s="145"/>
      <c r="H61" s="128"/>
      <c r="I61" s="128"/>
      <c r="J61" s="58" t="e">
        <f>VLOOKUP(G61,[1]!ModTbl,8,0)</f>
        <v>#N/A</v>
      </c>
      <c r="K61" s="58" t="e">
        <f>VLOOKUP(G61,[1]!ModTbl,9,0)</f>
        <v>#N/A</v>
      </c>
      <c r="L61" s="58" t="e">
        <f>VLOOKUP(G61,[1]!ModTbl,10,0)</f>
        <v>#N/A</v>
      </c>
      <c r="M61" s="58">
        <v>0</v>
      </c>
      <c r="N61" s="126" t="e">
        <f t="shared" si="40"/>
        <v>#N/A</v>
      </c>
      <c r="O61" s="126" t="e">
        <f t="shared" si="5"/>
        <v>#N/A</v>
      </c>
      <c r="P61" s="126" t="e">
        <f t="shared" si="6"/>
        <v>#N/A</v>
      </c>
      <c r="Q61" s="126" t="e">
        <f t="shared" si="7"/>
        <v>#N/A</v>
      </c>
      <c r="R61" s="126" t="e">
        <f t="shared" si="8"/>
        <v>#N/A</v>
      </c>
      <c r="S61" s="126" t="e">
        <f t="shared" si="9"/>
        <v>#N/A</v>
      </c>
      <c r="T61" s="126" t="e">
        <f t="shared" si="10"/>
        <v>#N/A</v>
      </c>
      <c r="U61" s="94" t="e">
        <f t="shared" si="11"/>
        <v>#N/A</v>
      </c>
      <c r="V61" s="94" t="e">
        <f t="shared" si="12"/>
        <v>#N/A</v>
      </c>
      <c r="W61" s="94" t="e">
        <f t="shared" si="13"/>
        <v>#N/A</v>
      </c>
      <c r="X61" s="94" t="e">
        <f t="shared" si="14"/>
        <v>#N/A</v>
      </c>
      <c r="Y61" s="95">
        <f t="shared" si="15"/>
        <v>0</v>
      </c>
      <c r="Z61" s="126" t="e">
        <f t="shared" si="16"/>
        <v>#N/A</v>
      </c>
      <c r="AA61" s="126" t="e">
        <f t="shared" si="17"/>
        <v>#N/A</v>
      </c>
      <c r="AB61" s="126" t="e">
        <f t="shared" si="18"/>
        <v>#N/A</v>
      </c>
      <c r="AC61" s="126" t="e">
        <f t="shared" si="19"/>
        <v>#N/A</v>
      </c>
      <c r="AD61" s="126"/>
      <c r="AE61" s="126"/>
      <c r="AF61" s="126"/>
      <c r="AG61" s="126"/>
      <c r="AH61" s="126"/>
      <c r="AI61" s="126">
        <f t="shared" si="41"/>
        <v>0</v>
      </c>
      <c r="AJ61" s="126"/>
      <c r="AK61" s="94" t="e">
        <f t="shared" si="21"/>
        <v>#N/A</v>
      </c>
      <c r="AL61" s="94" t="e">
        <f t="shared" si="22"/>
        <v>#N/A</v>
      </c>
      <c r="AM61" s="94" t="e">
        <f t="shared" si="23"/>
        <v>#N/A</v>
      </c>
      <c r="AN61" s="94" t="e">
        <f t="shared" si="24"/>
        <v>#N/A</v>
      </c>
      <c r="AO61" s="95">
        <f t="shared" si="25"/>
        <v>0</v>
      </c>
      <c r="AP61" s="126" t="e">
        <f t="shared" si="26"/>
        <v>#N/A</v>
      </c>
      <c r="AQ61" s="126" t="e">
        <f t="shared" si="27"/>
        <v>#N/A</v>
      </c>
      <c r="AR61" s="126" t="e">
        <f t="shared" si="28"/>
        <v>#N/A</v>
      </c>
      <c r="AS61" s="126" t="e">
        <f t="shared" si="29"/>
        <v>#N/A</v>
      </c>
      <c r="AT61" s="126">
        <v>0</v>
      </c>
      <c r="AU61" s="126"/>
      <c r="AV61" s="126"/>
      <c r="AW61" s="126"/>
      <c r="AX61" s="126"/>
      <c r="AY61" s="126">
        <f t="shared" si="30"/>
        <v>0</v>
      </c>
      <c r="AZ61" s="127"/>
      <c r="BA61" s="127"/>
      <c r="BB61" s="2"/>
      <c r="BC61" s="27" t="e">
        <f t="shared" si="31"/>
        <v>#N/A</v>
      </c>
      <c r="BD61" s="27" t="e">
        <f t="shared" si="32"/>
        <v>#N/A</v>
      </c>
      <c r="BE61" s="27"/>
      <c r="BF61" s="27">
        <f t="shared" si="33"/>
        <v>0</v>
      </c>
      <c r="BG61" s="27"/>
      <c r="BH61" s="27" t="e">
        <f t="shared" si="34"/>
        <v>#N/A</v>
      </c>
      <c r="BI61" s="27" t="e">
        <f t="shared" si="35"/>
        <v>#N/A</v>
      </c>
      <c r="BJ61" s="27" t="e">
        <f t="shared" si="36"/>
        <v>#N/A</v>
      </c>
      <c r="BK61" s="27"/>
      <c r="BL61" s="27"/>
      <c r="BM61" s="27" t="e">
        <f t="shared" si="37"/>
        <v>#N/A</v>
      </c>
      <c r="BN61" s="27" t="e">
        <f t="shared" si="38"/>
        <v>#N/A</v>
      </c>
      <c r="BO61" s="27" t="e">
        <f t="shared" si="39"/>
        <v>#N/A</v>
      </c>
      <c r="BP61" s="27"/>
      <c r="BQ61" s="27"/>
    </row>
    <row r="62" spans="1:69" x14ac:dyDescent="0.25">
      <c r="A62" s="128"/>
      <c r="B62" s="166"/>
      <c r="C62" s="144"/>
      <c r="D62" s="138" t="e">
        <f>VLOOKUP(G62,[1]!ModTbl,2,0)</f>
        <v>#N/A</v>
      </c>
      <c r="E62" s="138" t="e">
        <f>VLOOKUP(G62,[1]!ModTbl,3,0)</f>
        <v>#N/A</v>
      </c>
      <c r="F62" s="138" t="e">
        <f>VLOOKUP(G62,[1]!ModTbl,4,0)</f>
        <v>#N/A</v>
      </c>
      <c r="G62" s="145"/>
      <c r="H62" s="128"/>
      <c r="I62" s="128"/>
      <c r="J62" s="58" t="e">
        <f>VLOOKUP(G62,[1]!ModTbl,8,0)</f>
        <v>#N/A</v>
      </c>
      <c r="K62" s="58" t="e">
        <f>VLOOKUP(G62,[1]!ModTbl,9,0)</f>
        <v>#N/A</v>
      </c>
      <c r="L62" s="58" t="e">
        <f>VLOOKUP(G62,[1]!ModTbl,10,0)</f>
        <v>#N/A</v>
      </c>
      <c r="M62" s="58">
        <v>0</v>
      </c>
      <c r="N62" s="126" t="e">
        <f t="shared" si="40"/>
        <v>#N/A</v>
      </c>
      <c r="O62" s="126" t="e">
        <f t="shared" si="5"/>
        <v>#N/A</v>
      </c>
      <c r="P62" s="126" t="e">
        <f t="shared" si="6"/>
        <v>#N/A</v>
      </c>
      <c r="Q62" s="126" t="e">
        <f t="shared" si="7"/>
        <v>#N/A</v>
      </c>
      <c r="R62" s="126" t="e">
        <f t="shared" si="8"/>
        <v>#N/A</v>
      </c>
      <c r="S62" s="126" t="e">
        <f t="shared" si="9"/>
        <v>#N/A</v>
      </c>
      <c r="T62" s="126" t="e">
        <f t="shared" si="10"/>
        <v>#N/A</v>
      </c>
      <c r="U62" s="94" t="e">
        <f t="shared" si="11"/>
        <v>#N/A</v>
      </c>
      <c r="V62" s="94" t="e">
        <f t="shared" si="12"/>
        <v>#N/A</v>
      </c>
      <c r="W62" s="94" t="e">
        <f t="shared" si="13"/>
        <v>#N/A</v>
      </c>
      <c r="X62" s="94" t="e">
        <f t="shared" si="14"/>
        <v>#N/A</v>
      </c>
      <c r="Y62" s="95">
        <f t="shared" si="15"/>
        <v>0</v>
      </c>
      <c r="Z62" s="126" t="e">
        <f t="shared" si="16"/>
        <v>#N/A</v>
      </c>
      <c r="AA62" s="126" t="e">
        <f t="shared" si="17"/>
        <v>#N/A</v>
      </c>
      <c r="AB62" s="126" t="e">
        <f t="shared" si="18"/>
        <v>#N/A</v>
      </c>
      <c r="AC62" s="126" t="e">
        <f t="shared" si="19"/>
        <v>#N/A</v>
      </c>
      <c r="AD62" s="126"/>
      <c r="AE62" s="126"/>
      <c r="AF62" s="126"/>
      <c r="AG62" s="126"/>
      <c r="AH62" s="126"/>
      <c r="AI62" s="126">
        <f t="shared" si="41"/>
        <v>0</v>
      </c>
      <c r="AJ62" s="126"/>
      <c r="AK62" s="94" t="e">
        <f t="shared" si="21"/>
        <v>#N/A</v>
      </c>
      <c r="AL62" s="94" t="e">
        <f t="shared" si="22"/>
        <v>#N/A</v>
      </c>
      <c r="AM62" s="94" t="e">
        <f t="shared" si="23"/>
        <v>#N/A</v>
      </c>
      <c r="AN62" s="94" t="e">
        <f t="shared" si="24"/>
        <v>#N/A</v>
      </c>
      <c r="AO62" s="95">
        <f t="shared" si="25"/>
        <v>0</v>
      </c>
      <c r="AP62" s="126" t="e">
        <f t="shared" si="26"/>
        <v>#N/A</v>
      </c>
      <c r="AQ62" s="126" t="e">
        <f t="shared" si="27"/>
        <v>#N/A</v>
      </c>
      <c r="AR62" s="126" t="e">
        <f t="shared" si="28"/>
        <v>#N/A</v>
      </c>
      <c r="AS62" s="126" t="e">
        <f t="shared" si="29"/>
        <v>#N/A</v>
      </c>
      <c r="AT62" s="126">
        <v>0</v>
      </c>
      <c r="AU62" s="126"/>
      <c r="AV62" s="126"/>
      <c r="AW62" s="126"/>
      <c r="AX62" s="126"/>
      <c r="AY62" s="126">
        <f t="shared" si="30"/>
        <v>0</v>
      </c>
      <c r="AZ62" s="127"/>
      <c r="BA62" s="127"/>
      <c r="BB62" s="2"/>
      <c r="BC62" s="27" t="e">
        <f t="shared" si="31"/>
        <v>#N/A</v>
      </c>
      <c r="BD62" s="27" t="e">
        <f t="shared" si="32"/>
        <v>#N/A</v>
      </c>
      <c r="BE62" s="27"/>
      <c r="BF62" s="27">
        <f t="shared" si="33"/>
        <v>0</v>
      </c>
      <c r="BG62" s="27"/>
      <c r="BH62" s="27" t="e">
        <f t="shared" si="34"/>
        <v>#N/A</v>
      </c>
      <c r="BI62" s="27" t="e">
        <f t="shared" si="35"/>
        <v>#N/A</v>
      </c>
      <c r="BJ62" s="27" t="e">
        <f t="shared" si="36"/>
        <v>#N/A</v>
      </c>
      <c r="BK62" s="27"/>
      <c r="BL62" s="27"/>
      <c r="BM62" s="27" t="e">
        <f t="shared" si="37"/>
        <v>#N/A</v>
      </c>
      <c r="BN62" s="27" t="e">
        <f t="shared" si="38"/>
        <v>#N/A</v>
      </c>
      <c r="BO62" s="27" t="e">
        <f t="shared" si="39"/>
        <v>#N/A</v>
      </c>
      <c r="BP62" s="27"/>
      <c r="BQ62" s="27"/>
    </row>
    <row r="63" spans="1:69" x14ac:dyDescent="0.25">
      <c r="A63" s="203"/>
      <c r="B63" s="204"/>
      <c r="C63" s="144"/>
      <c r="D63" s="138" t="e">
        <f>VLOOKUP(G63,[1]!ModTbl,2,0)</f>
        <v>#N/A</v>
      </c>
      <c r="E63" s="138" t="e">
        <f>VLOOKUP(G63,[1]!ModTbl,3,0)</f>
        <v>#N/A</v>
      </c>
      <c r="F63" s="138" t="e">
        <f>VLOOKUP(G63,[1]!ModTbl,4,0)</f>
        <v>#N/A</v>
      </c>
      <c r="G63" s="145"/>
      <c r="H63" s="128"/>
      <c r="I63" s="128"/>
      <c r="J63" s="58" t="e">
        <f>VLOOKUP(G63,[1]!ModTbl,8,0)</f>
        <v>#N/A</v>
      </c>
      <c r="K63" s="58" t="e">
        <f>VLOOKUP(G63,[1]!ModTbl,9,0)</f>
        <v>#N/A</v>
      </c>
      <c r="L63" s="58" t="e">
        <f>VLOOKUP(G63,[1]!ModTbl,10,0)</f>
        <v>#N/A</v>
      </c>
      <c r="M63" s="58">
        <v>0</v>
      </c>
      <c r="N63" s="126" t="e">
        <f t="shared" si="40"/>
        <v>#N/A</v>
      </c>
      <c r="O63" s="126" t="e">
        <f t="shared" si="5"/>
        <v>#N/A</v>
      </c>
      <c r="P63" s="126" t="e">
        <f t="shared" si="6"/>
        <v>#N/A</v>
      </c>
      <c r="Q63" s="126" t="e">
        <f t="shared" si="7"/>
        <v>#N/A</v>
      </c>
      <c r="R63" s="126" t="e">
        <f t="shared" si="8"/>
        <v>#N/A</v>
      </c>
      <c r="S63" s="126" t="e">
        <f t="shared" si="9"/>
        <v>#N/A</v>
      </c>
      <c r="T63" s="126" t="e">
        <f t="shared" si="10"/>
        <v>#N/A</v>
      </c>
      <c r="U63" s="94" t="e">
        <f t="shared" si="11"/>
        <v>#N/A</v>
      </c>
      <c r="V63" s="94" t="e">
        <f t="shared" si="12"/>
        <v>#N/A</v>
      </c>
      <c r="W63" s="94" t="e">
        <f t="shared" si="13"/>
        <v>#N/A</v>
      </c>
      <c r="X63" s="94" t="e">
        <f t="shared" si="14"/>
        <v>#N/A</v>
      </c>
      <c r="Y63" s="95">
        <f t="shared" si="15"/>
        <v>0</v>
      </c>
      <c r="Z63" s="126" t="e">
        <f t="shared" si="16"/>
        <v>#N/A</v>
      </c>
      <c r="AA63" s="126" t="e">
        <f t="shared" si="17"/>
        <v>#N/A</v>
      </c>
      <c r="AB63" s="126" t="e">
        <f t="shared" si="18"/>
        <v>#N/A</v>
      </c>
      <c r="AC63" s="126" t="e">
        <f t="shared" si="19"/>
        <v>#N/A</v>
      </c>
      <c r="AD63" s="126"/>
      <c r="AE63" s="126"/>
      <c r="AF63" s="126"/>
      <c r="AG63" s="126"/>
      <c r="AH63" s="126"/>
      <c r="AI63" s="126">
        <f t="shared" si="41"/>
        <v>0</v>
      </c>
      <c r="AJ63" s="126"/>
      <c r="AK63" s="94" t="e">
        <f t="shared" si="21"/>
        <v>#N/A</v>
      </c>
      <c r="AL63" s="94" t="e">
        <f t="shared" si="22"/>
        <v>#N/A</v>
      </c>
      <c r="AM63" s="94" t="e">
        <f t="shared" si="23"/>
        <v>#N/A</v>
      </c>
      <c r="AN63" s="94" t="e">
        <f t="shared" si="24"/>
        <v>#N/A</v>
      </c>
      <c r="AO63" s="95">
        <f t="shared" si="25"/>
        <v>0</v>
      </c>
      <c r="AP63" s="126" t="e">
        <f t="shared" si="26"/>
        <v>#N/A</v>
      </c>
      <c r="AQ63" s="126" t="e">
        <f t="shared" si="27"/>
        <v>#N/A</v>
      </c>
      <c r="AR63" s="126" t="e">
        <f t="shared" si="28"/>
        <v>#N/A</v>
      </c>
      <c r="AS63" s="126" t="e">
        <f t="shared" si="29"/>
        <v>#N/A</v>
      </c>
      <c r="AT63" s="126">
        <v>0</v>
      </c>
      <c r="AU63" s="126"/>
      <c r="AV63" s="126"/>
      <c r="AW63" s="126"/>
      <c r="AX63" s="126"/>
      <c r="AY63" s="126">
        <f t="shared" si="30"/>
        <v>0</v>
      </c>
      <c r="AZ63" s="127"/>
      <c r="BA63" s="127"/>
      <c r="BB63" s="2"/>
      <c r="BC63" s="27" t="e">
        <f t="shared" si="31"/>
        <v>#N/A</v>
      </c>
      <c r="BD63" s="27" t="e">
        <f t="shared" si="32"/>
        <v>#N/A</v>
      </c>
      <c r="BE63" s="27"/>
      <c r="BF63" s="27">
        <f t="shared" si="33"/>
        <v>0</v>
      </c>
      <c r="BG63" s="27"/>
      <c r="BH63" s="27" t="e">
        <f t="shared" si="34"/>
        <v>#N/A</v>
      </c>
      <c r="BI63" s="27" t="e">
        <f t="shared" si="35"/>
        <v>#N/A</v>
      </c>
      <c r="BJ63" s="27" t="e">
        <f t="shared" si="36"/>
        <v>#N/A</v>
      </c>
      <c r="BK63" s="27"/>
      <c r="BL63" s="27"/>
      <c r="BM63" s="27" t="e">
        <f t="shared" si="37"/>
        <v>#N/A</v>
      </c>
      <c r="BN63" s="27" t="e">
        <f t="shared" si="38"/>
        <v>#N/A</v>
      </c>
      <c r="BO63" s="27" t="e">
        <f t="shared" si="39"/>
        <v>#N/A</v>
      </c>
      <c r="BP63" s="27"/>
      <c r="BQ63" s="27"/>
    </row>
    <row r="64" spans="1:69" x14ac:dyDescent="0.25">
      <c r="A64" s="203"/>
      <c r="B64" s="204"/>
      <c r="C64" s="144"/>
      <c r="D64" s="138" t="e">
        <f>VLOOKUP(G64,[1]!ModTbl,2,0)</f>
        <v>#N/A</v>
      </c>
      <c r="E64" s="138" t="e">
        <f>VLOOKUP(G64,[1]!ModTbl,3,0)</f>
        <v>#N/A</v>
      </c>
      <c r="F64" s="138" t="e">
        <f>VLOOKUP(G64,[1]!ModTbl,4,0)</f>
        <v>#N/A</v>
      </c>
      <c r="G64" s="145"/>
      <c r="H64" s="128"/>
      <c r="I64" s="128"/>
      <c r="J64" s="58" t="e">
        <f>VLOOKUP(G64,[1]!ModTbl,8,0)</f>
        <v>#N/A</v>
      </c>
      <c r="K64" s="58" t="e">
        <f>VLOOKUP(G64,[1]!ModTbl,9,0)</f>
        <v>#N/A</v>
      </c>
      <c r="L64" s="58" t="e">
        <f>VLOOKUP(G64,[1]!ModTbl,10,0)</f>
        <v>#N/A</v>
      </c>
      <c r="M64" s="58">
        <v>0</v>
      </c>
      <c r="N64" s="126" t="e">
        <f t="shared" si="40"/>
        <v>#N/A</v>
      </c>
      <c r="O64" s="126" t="e">
        <f t="shared" si="5"/>
        <v>#N/A</v>
      </c>
      <c r="P64" s="126" t="e">
        <f t="shared" si="6"/>
        <v>#N/A</v>
      </c>
      <c r="Q64" s="126" t="e">
        <f t="shared" si="7"/>
        <v>#N/A</v>
      </c>
      <c r="R64" s="126" t="e">
        <f t="shared" si="8"/>
        <v>#N/A</v>
      </c>
      <c r="S64" s="126" t="e">
        <f t="shared" si="9"/>
        <v>#N/A</v>
      </c>
      <c r="T64" s="126" t="e">
        <f t="shared" si="10"/>
        <v>#N/A</v>
      </c>
      <c r="U64" s="94" t="e">
        <f t="shared" si="11"/>
        <v>#N/A</v>
      </c>
      <c r="V64" s="94" t="e">
        <f t="shared" si="12"/>
        <v>#N/A</v>
      </c>
      <c r="W64" s="94" t="e">
        <f t="shared" si="13"/>
        <v>#N/A</v>
      </c>
      <c r="X64" s="94" t="e">
        <f t="shared" si="14"/>
        <v>#N/A</v>
      </c>
      <c r="Y64" s="95">
        <f t="shared" si="15"/>
        <v>0</v>
      </c>
      <c r="Z64" s="126" t="e">
        <f t="shared" si="16"/>
        <v>#N/A</v>
      </c>
      <c r="AA64" s="126" t="e">
        <f t="shared" si="17"/>
        <v>#N/A</v>
      </c>
      <c r="AB64" s="126" t="e">
        <f t="shared" si="18"/>
        <v>#N/A</v>
      </c>
      <c r="AC64" s="126" t="e">
        <f t="shared" si="19"/>
        <v>#N/A</v>
      </c>
      <c r="AD64" s="126"/>
      <c r="AE64" s="126"/>
      <c r="AF64" s="126"/>
      <c r="AG64" s="126"/>
      <c r="AH64" s="126"/>
      <c r="AI64" s="126">
        <f t="shared" si="41"/>
        <v>0</v>
      </c>
      <c r="AJ64" s="126"/>
      <c r="AK64" s="94" t="e">
        <f t="shared" si="21"/>
        <v>#N/A</v>
      </c>
      <c r="AL64" s="94" t="e">
        <f t="shared" si="22"/>
        <v>#N/A</v>
      </c>
      <c r="AM64" s="94" t="e">
        <f t="shared" si="23"/>
        <v>#N/A</v>
      </c>
      <c r="AN64" s="94" t="e">
        <f t="shared" si="24"/>
        <v>#N/A</v>
      </c>
      <c r="AO64" s="95">
        <f t="shared" si="25"/>
        <v>0</v>
      </c>
      <c r="AP64" s="126" t="e">
        <f t="shared" si="26"/>
        <v>#N/A</v>
      </c>
      <c r="AQ64" s="126" t="e">
        <f t="shared" si="27"/>
        <v>#N/A</v>
      </c>
      <c r="AR64" s="126" t="e">
        <f t="shared" si="28"/>
        <v>#N/A</v>
      </c>
      <c r="AS64" s="126" t="e">
        <f t="shared" si="29"/>
        <v>#N/A</v>
      </c>
      <c r="AT64" s="126">
        <v>0</v>
      </c>
      <c r="AU64" s="126"/>
      <c r="AV64" s="126"/>
      <c r="AW64" s="126"/>
      <c r="AX64" s="126"/>
      <c r="AY64" s="126">
        <f t="shared" si="30"/>
        <v>0</v>
      </c>
      <c r="AZ64" s="127"/>
      <c r="BA64" s="127"/>
      <c r="BB64" s="2"/>
      <c r="BC64" s="27" t="e">
        <f t="shared" si="31"/>
        <v>#N/A</v>
      </c>
      <c r="BD64" s="27" t="e">
        <f t="shared" si="32"/>
        <v>#N/A</v>
      </c>
      <c r="BE64" s="27"/>
      <c r="BF64" s="27">
        <f t="shared" si="33"/>
        <v>0</v>
      </c>
      <c r="BG64" s="27"/>
      <c r="BH64" s="27" t="e">
        <f t="shared" si="34"/>
        <v>#N/A</v>
      </c>
      <c r="BI64" s="27" t="e">
        <f t="shared" si="35"/>
        <v>#N/A</v>
      </c>
      <c r="BJ64" s="27" t="e">
        <f t="shared" si="36"/>
        <v>#N/A</v>
      </c>
      <c r="BK64" s="27"/>
      <c r="BL64" s="27"/>
      <c r="BM64" s="27" t="e">
        <f t="shared" si="37"/>
        <v>#N/A</v>
      </c>
      <c r="BN64" s="27" t="e">
        <f t="shared" si="38"/>
        <v>#N/A</v>
      </c>
      <c r="BO64" s="27" t="e">
        <f t="shared" si="39"/>
        <v>#N/A</v>
      </c>
      <c r="BP64" s="27"/>
      <c r="BQ64" s="27"/>
    </row>
    <row r="65" spans="1:69" x14ac:dyDescent="0.25">
      <c r="A65" s="203"/>
      <c r="B65" s="204"/>
      <c r="C65" s="144"/>
      <c r="D65" s="138" t="e">
        <f>VLOOKUP(G65,[1]!ModTbl,2,0)</f>
        <v>#N/A</v>
      </c>
      <c r="E65" s="138" t="e">
        <f>VLOOKUP(G65,[1]!ModTbl,3,0)</f>
        <v>#N/A</v>
      </c>
      <c r="F65" s="138" t="e">
        <f>VLOOKUP(G65,[1]!ModTbl,4,0)</f>
        <v>#N/A</v>
      </c>
      <c r="G65" s="145"/>
      <c r="H65" s="128"/>
      <c r="I65" s="128"/>
      <c r="J65" s="58" t="e">
        <f>VLOOKUP(G65,[1]!ModTbl,8,0)</f>
        <v>#N/A</v>
      </c>
      <c r="K65" s="58" t="e">
        <f>VLOOKUP(G65,[1]!ModTbl,9,0)</f>
        <v>#N/A</v>
      </c>
      <c r="L65" s="58" t="e">
        <f>VLOOKUP(G65,[1]!ModTbl,10,0)</f>
        <v>#N/A</v>
      </c>
      <c r="M65" s="58">
        <v>0</v>
      </c>
      <c r="N65" s="126" t="e">
        <f t="shared" si="40"/>
        <v>#N/A</v>
      </c>
      <c r="O65" s="126" t="e">
        <f t="shared" si="5"/>
        <v>#N/A</v>
      </c>
      <c r="P65" s="126" t="e">
        <f t="shared" si="6"/>
        <v>#N/A</v>
      </c>
      <c r="Q65" s="126" t="e">
        <f t="shared" si="7"/>
        <v>#N/A</v>
      </c>
      <c r="R65" s="126" t="e">
        <f t="shared" si="8"/>
        <v>#N/A</v>
      </c>
      <c r="S65" s="126" t="e">
        <f t="shared" si="9"/>
        <v>#N/A</v>
      </c>
      <c r="T65" s="126" t="e">
        <f t="shared" si="10"/>
        <v>#N/A</v>
      </c>
      <c r="U65" s="94" t="e">
        <f t="shared" si="11"/>
        <v>#N/A</v>
      </c>
      <c r="V65" s="94" t="e">
        <f t="shared" si="12"/>
        <v>#N/A</v>
      </c>
      <c r="W65" s="94" t="e">
        <f t="shared" si="13"/>
        <v>#N/A</v>
      </c>
      <c r="X65" s="94" t="e">
        <f t="shared" si="14"/>
        <v>#N/A</v>
      </c>
      <c r="Y65" s="95">
        <f t="shared" si="15"/>
        <v>0</v>
      </c>
      <c r="Z65" s="126" t="e">
        <f t="shared" si="16"/>
        <v>#N/A</v>
      </c>
      <c r="AA65" s="126" t="e">
        <f t="shared" si="17"/>
        <v>#N/A</v>
      </c>
      <c r="AB65" s="126" t="e">
        <f t="shared" si="18"/>
        <v>#N/A</v>
      </c>
      <c r="AC65" s="126" t="e">
        <f t="shared" si="19"/>
        <v>#N/A</v>
      </c>
      <c r="AD65" s="126"/>
      <c r="AE65" s="126"/>
      <c r="AF65" s="126"/>
      <c r="AG65" s="126"/>
      <c r="AH65" s="126"/>
      <c r="AI65" s="126">
        <f t="shared" si="41"/>
        <v>0</v>
      </c>
      <c r="AJ65" s="126"/>
      <c r="AK65" s="94" t="e">
        <f t="shared" si="21"/>
        <v>#N/A</v>
      </c>
      <c r="AL65" s="94" t="e">
        <f t="shared" si="22"/>
        <v>#N/A</v>
      </c>
      <c r="AM65" s="94" t="e">
        <f t="shared" si="23"/>
        <v>#N/A</v>
      </c>
      <c r="AN65" s="94" t="e">
        <f t="shared" si="24"/>
        <v>#N/A</v>
      </c>
      <c r="AO65" s="95">
        <f t="shared" si="25"/>
        <v>0</v>
      </c>
      <c r="AP65" s="126" t="e">
        <f t="shared" si="26"/>
        <v>#N/A</v>
      </c>
      <c r="AQ65" s="126" t="e">
        <f t="shared" si="27"/>
        <v>#N/A</v>
      </c>
      <c r="AR65" s="126" t="e">
        <f t="shared" si="28"/>
        <v>#N/A</v>
      </c>
      <c r="AS65" s="126" t="e">
        <f t="shared" si="29"/>
        <v>#N/A</v>
      </c>
      <c r="AT65" s="126">
        <v>0</v>
      </c>
      <c r="AU65" s="126"/>
      <c r="AV65" s="126"/>
      <c r="AW65" s="126"/>
      <c r="AX65" s="126"/>
      <c r="AY65" s="126">
        <f t="shared" si="30"/>
        <v>0</v>
      </c>
      <c r="AZ65" s="127"/>
      <c r="BA65" s="127"/>
      <c r="BB65" s="2"/>
      <c r="BC65" s="27" t="e">
        <f t="shared" si="31"/>
        <v>#N/A</v>
      </c>
      <c r="BD65" s="27" t="e">
        <f t="shared" si="32"/>
        <v>#N/A</v>
      </c>
      <c r="BE65" s="27"/>
      <c r="BF65" s="27">
        <f t="shared" si="33"/>
        <v>0</v>
      </c>
      <c r="BG65" s="27"/>
      <c r="BH65" s="27" t="e">
        <f t="shared" si="34"/>
        <v>#N/A</v>
      </c>
      <c r="BI65" s="27" t="e">
        <f t="shared" si="35"/>
        <v>#N/A</v>
      </c>
      <c r="BJ65" s="27" t="e">
        <f t="shared" si="36"/>
        <v>#N/A</v>
      </c>
      <c r="BK65" s="27"/>
      <c r="BL65" s="27"/>
      <c r="BM65" s="27" t="e">
        <f t="shared" si="37"/>
        <v>#N/A</v>
      </c>
      <c r="BN65" s="27" t="e">
        <f t="shared" si="38"/>
        <v>#N/A</v>
      </c>
      <c r="BO65" s="27" t="e">
        <f t="shared" si="39"/>
        <v>#N/A</v>
      </c>
      <c r="BP65" s="27"/>
      <c r="BQ65" s="27"/>
    </row>
    <row r="66" spans="1:69" x14ac:dyDescent="0.25">
      <c r="A66" s="128"/>
      <c r="B66" s="166"/>
      <c r="C66" s="126"/>
      <c r="D66" s="57" t="e">
        <f>VLOOKUP(G66,[1]!ModTbl,2,0)</f>
        <v>#N/A</v>
      </c>
      <c r="E66" s="57" t="e">
        <f>VLOOKUP(G66,[1]!ModTbl,3,0)</f>
        <v>#N/A</v>
      </c>
      <c r="F66" s="57" t="e">
        <f>VLOOKUP(G66,[1]!ModTbl,4,0)</f>
        <v>#N/A</v>
      </c>
      <c r="G66" s="25"/>
      <c r="H66" s="128"/>
      <c r="I66" s="128"/>
      <c r="J66" s="58" t="e">
        <f>VLOOKUP(G66,[1]!ModTbl,8,0)</f>
        <v>#N/A</v>
      </c>
      <c r="K66" s="58" t="e">
        <f>VLOOKUP(G66,[1]!ModTbl,9,0)</f>
        <v>#N/A</v>
      </c>
      <c r="L66" s="58" t="e">
        <f>VLOOKUP(G66,[1]!ModTbl,10,0)</f>
        <v>#N/A</v>
      </c>
      <c r="M66" s="58">
        <v>0</v>
      </c>
      <c r="N66" s="126" t="e">
        <f t="shared" si="40"/>
        <v>#N/A</v>
      </c>
      <c r="O66" s="126" t="e">
        <f t="shared" si="5"/>
        <v>#N/A</v>
      </c>
      <c r="P66" s="126" t="e">
        <f t="shared" si="6"/>
        <v>#N/A</v>
      </c>
      <c r="Q66" s="126" t="e">
        <f t="shared" si="7"/>
        <v>#N/A</v>
      </c>
      <c r="R66" s="126" t="e">
        <f t="shared" si="8"/>
        <v>#N/A</v>
      </c>
      <c r="S66" s="126" t="e">
        <f t="shared" si="9"/>
        <v>#N/A</v>
      </c>
      <c r="T66" s="126" t="e">
        <f t="shared" si="10"/>
        <v>#N/A</v>
      </c>
      <c r="U66" s="94" t="e">
        <f t="shared" si="11"/>
        <v>#N/A</v>
      </c>
      <c r="V66" s="94" t="e">
        <f t="shared" si="12"/>
        <v>#N/A</v>
      </c>
      <c r="W66" s="94" t="e">
        <f t="shared" si="13"/>
        <v>#N/A</v>
      </c>
      <c r="X66" s="94" t="e">
        <f t="shared" si="14"/>
        <v>#N/A</v>
      </c>
      <c r="Y66" s="95">
        <f t="shared" si="15"/>
        <v>0</v>
      </c>
      <c r="Z66" s="126" t="e">
        <f t="shared" si="16"/>
        <v>#N/A</v>
      </c>
      <c r="AA66" s="126" t="e">
        <f t="shared" si="17"/>
        <v>#N/A</v>
      </c>
      <c r="AB66" s="126" t="e">
        <f t="shared" si="18"/>
        <v>#N/A</v>
      </c>
      <c r="AC66" s="126" t="e">
        <f t="shared" si="19"/>
        <v>#N/A</v>
      </c>
      <c r="AD66" s="126"/>
      <c r="AE66" s="126"/>
      <c r="AF66" s="126"/>
      <c r="AG66" s="126"/>
      <c r="AH66" s="126"/>
      <c r="AI66" s="126">
        <f t="shared" si="41"/>
        <v>0</v>
      </c>
      <c r="AJ66" s="126"/>
      <c r="AK66" s="94" t="e">
        <f t="shared" si="21"/>
        <v>#N/A</v>
      </c>
      <c r="AL66" s="94" t="e">
        <f t="shared" si="22"/>
        <v>#N/A</v>
      </c>
      <c r="AM66" s="94" t="e">
        <f t="shared" si="23"/>
        <v>#N/A</v>
      </c>
      <c r="AN66" s="94" t="e">
        <f t="shared" si="24"/>
        <v>#N/A</v>
      </c>
      <c r="AO66" s="95">
        <f t="shared" si="25"/>
        <v>0</v>
      </c>
      <c r="AP66" s="126" t="e">
        <f t="shared" si="26"/>
        <v>#N/A</v>
      </c>
      <c r="AQ66" s="126" t="e">
        <f t="shared" si="27"/>
        <v>#N/A</v>
      </c>
      <c r="AR66" s="126" t="e">
        <f t="shared" si="28"/>
        <v>#N/A</v>
      </c>
      <c r="AS66" s="126" t="e">
        <f t="shared" si="29"/>
        <v>#N/A</v>
      </c>
      <c r="AT66" s="126">
        <v>0</v>
      </c>
      <c r="AU66" s="126"/>
      <c r="AV66" s="126"/>
      <c r="AW66" s="126"/>
      <c r="AX66" s="126"/>
      <c r="AY66" s="126">
        <f t="shared" si="30"/>
        <v>0</v>
      </c>
      <c r="AZ66" s="127"/>
      <c r="BA66" s="127"/>
      <c r="BB66" s="2"/>
      <c r="BC66" s="27" t="e">
        <f t="shared" si="31"/>
        <v>#N/A</v>
      </c>
      <c r="BD66" s="27" t="e">
        <f t="shared" si="32"/>
        <v>#N/A</v>
      </c>
      <c r="BE66" s="27"/>
      <c r="BF66" s="27">
        <f t="shared" si="33"/>
        <v>0</v>
      </c>
      <c r="BG66" s="27"/>
      <c r="BH66" s="27" t="e">
        <f t="shared" si="34"/>
        <v>#N/A</v>
      </c>
      <c r="BI66" s="27" t="e">
        <f t="shared" si="35"/>
        <v>#N/A</v>
      </c>
      <c r="BJ66" s="27" t="e">
        <f t="shared" si="36"/>
        <v>#N/A</v>
      </c>
      <c r="BK66" s="27"/>
      <c r="BL66" s="27"/>
      <c r="BM66" s="27" t="e">
        <f t="shared" si="37"/>
        <v>#N/A</v>
      </c>
      <c r="BN66" s="27" t="e">
        <f t="shared" si="38"/>
        <v>#N/A</v>
      </c>
      <c r="BO66" s="27" t="e">
        <f t="shared" si="39"/>
        <v>#N/A</v>
      </c>
      <c r="BP66" s="27"/>
      <c r="BQ66" s="27"/>
    </row>
    <row r="67" spans="1:69" x14ac:dyDescent="0.25">
      <c r="A67" s="128"/>
      <c r="B67" s="166"/>
      <c r="C67" s="144"/>
      <c r="D67" s="138" t="e">
        <f>VLOOKUP(G67,[1]!ModTbl,2,0)</f>
        <v>#N/A</v>
      </c>
      <c r="E67" s="138" t="e">
        <f>VLOOKUP(G67,[1]!ModTbl,3,0)</f>
        <v>#N/A</v>
      </c>
      <c r="F67" s="138" t="e">
        <f>VLOOKUP(G67,[1]!ModTbl,4,0)</f>
        <v>#N/A</v>
      </c>
      <c r="G67" s="145"/>
      <c r="H67" s="128"/>
      <c r="I67" s="128"/>
      <c r="J67" s="58" t="e">
        <f>VLOOKUP(G67,[1]!ModTbl,8,0)</f>
        <v>#N/A</v>
      </c>
      <c r="K67" s="58" t="e">
        <f>VLOOKUP(G67,[1]!ModTbl,9,0)</f>
        <v>#N/A</v>
      </c>
      <c r="L67" s="58" t="e">
        <f>VLOOKUP(G67,[1]!ModTbl,10,0)</f>
        <v>#N/A</v>
      </c>
      <c r="M67" s="58">
        <v>0</v>
      </c>
      <c r="N67" s="126" t="e">
        <f t="shared" si="40"/>
        <v>#N/A</v>
      </c>
      <c r="O67" s="126" t="e">
        <f t="shared" si="5"/>
        <v>#N/A</v>
      </c>
      <c r="P67" s="126" t="e">
        <f t="shared" si="6"/>
        <v>#N/A</v>
      </c>
      <c r="Q67" s="126" t="e">
        <f t="shared" si="7"/>
        <v>#N/A</v>
      </c>
      <c r="R67" s="126" t="e">
        <f t="shared" si="8"/>
        <v>#N/A</v>
      </c>
      <c r="S67" s="126" t="e">
        <f t="shared" si="9"/>
        <v>#N/A</v>
      </c>
      <c r="T67" s="126" t="e">
        <f t="shared" si="10"/>
        <v>#N/A</v>
      </c>
      <c r="U67" s="94" t="e">
        <f t="shared" si="11"/>
        <v>#N/A</v>
      </c>
      <c r="V67" s="94" t="e">
        <f t="shared" si="12"/>
        <v>#N/A</v>
      </c>
      <c r="W67" s="94" t="e">
        <f t="shared" si="13"/>
        <v>#N/A</v>
      </c>
      <c r="X67" s="94" t="e">
        <f t="shared" si="14"/>
        <v>#N/A</v>
      </c>
      <c r="Y67" s="95">
        <f t="shared" si="15"/>
        <v>0</v>
      </c>
      <c r="Z67" s="126" t="e">
        <f t="shared" si="16"/>
        <v>#N/A</v>
      </c>
      <c r="AA67" s="126" t="e">
        <f t="shared" si="17"/>
        <v>#N/A</v>
      </c>
      <c r="AB67" s="126" t="e">
        <f t="shared" si="18"/>
        <v>#N/A</v>
      </c>
      <c r="AC67" s="126" t="e">
        <f t="shared" si="19"/>
        <v>#N/A</v>
      </c>
      <c r="AD67" s="126"/>
      <c r="AE67" s="126"/>
      <c r="AF67" s="126"/>
      <c r="AG67" s="126"/>
      <c r="AH67" s="126"/>
      <c r="AI67" s="126">
        <f t="shared" si="41"/>
        <v>0</v>
      </c>
      <c r="AJ67" s="126"/>
      <c r="AK67" s="94" t="e">
        <f t="shared" si="21"/>
        <v>#N/A</v>
      </c>
      <c r="AL67" s="94" t="e">
        <f t="shared" si="22"/>
        <v>#N/A</v>
      </c>
      <c r="AM67" s="94" t="e">
        <f t="shared" si="23"/>
        <v>#N/A</v>
      </c>
      <c r="AN67" s="94" t="e">
        <f t="shared" si="24"/>
        <v>#N/A</v>
      </c>
      <c r="AO67" s="95">
        <f t="shared" si="25"/>
        <v>0</v>
      </c>
      <c r="AP67" s="126" t="e">
        <f t="shared" si="26"/>
        <v>#N/A</v>
      </c>
      <c r="AQ67" s="126" t="e">
        <f t="shared" si="27"/>
        <v>#N/A</v>
      </c>
      <c r="AR67" s="126" t="e">
        <f t="shared" si="28"/>
        <v>#N/A</v>
      </c>
      <c r="AS67" s="126" t="e">
        <f t="shared" si="29"/>
        <v>#N/A</v>
      </c>
      <c r="AT67" s="126">
        <v>0</v>
      </c>
      <c r="AU67" s="126"/>
      <c r="AV67" s="126"/>
      <c r="AW67" s="126"/>
      <c r="AX67" s="126"/>
      <c r="AY67" s="126">
        <f t="shared" si="30"/>
        <v>0</v>
      </c>
      <c r="AZ67" s="127"/>
      <c r="BA67" s="127"/>
      <c r="BB67" s="2"/>
      <c r="BC67" s="27" t="e">
        <f t="shared" si="31"/>
        <v>#N/A</v>
      </c>
      <c r="BD67" s="27" t="e">
        <f t="shared" si="32"/>
        <v>#N/A</v>
      </c>
      <c r="BE67" s="27"/>
      <c r="BF67" s="27">
        <f t="shared" si="33"/>
        <v>0</v>
      </c>
      <c r="BG67" s="27"/>
      <c r="BH67" s="27" t="e">
        <f t="shared" si="34"/>
        <v>#N/A</v>
      </c>
      <c r="BI67" s="27" t="e">
        <f t="shared" si="35"/>
        <v>#N/A</v>
      </c>
      <c r="BJ67" s="27" t="e">
        <f t="shared" si="36"/>
        <v>#N/A</v>
      </c>
      <c r="BK67" s="27"/>
      <c r="BL67" s="27"/>
      <c r="BM67" s="27" t="e">
        <f t="shared" si="37"/>
        <v>#N/A</v>
      </c>
      <c r="BN67" s="27" t="e">
        <f t="shared" si="38"/>
        <v>#N/A</v>
      </c>
      <c r="BO67" s="27" t="e">
        <f t="shared" si="39"/>
        <v>#N/A</v>
      </c>
      <c r="BP67" s="27"/>
      <c r="BQ67" s="27"/>
    </row>
    <row r="68" spans="1:69" x14ac:dyDescent="0.25">
      <c r="A68" s="128"/>
      <c r="B68" s="166"/>
      <c r="C68" s="144"/>
      <c r="D68" s="138" t="e">
        <f>VLOOKUP(G68,[1]!ModTbl,2,0)</f>
        <v>#N/A</v>
      </c>
      <c r="E68" s="138" t="e">
        <f>VLOOKUP(G68,[1]!ModTbl,3,0)</f>
        <v>#N/A</v>
      </c>
      <c r="F68" s="138" t="e">
        <f>VLOOKUP(G68,[1]!ModTbl,4,0)</f>
        <v>#N/A</v>
      </c>
      <c r="G68" s="145"/>
      <c r="H68" s="128"/>
      <c r="I68" s="128"/>
      <c r="J68" s="58" t="e">
        <f>VLOOKUP(G68,[1]!ModTbl,8,0)</f>
        <v>#N/A</v>
      </c>
      <c r="K68" s="58" t="e">
        <f>VLOOKUP(G68,[1]!ModTbl,9,0)</f>
        <v>#N/A</v>
      </c>
      <c r="L68" s="58" t="e">
        <f>VLOOKUP(G68,[1]!ModTbl,10,0)</f>
        <v>#N/A</v>
      </c>
      <c r="M68" s="58">
        <v>0</v>
      </c>
      <c r="N68" s="126" t="e">
        <f t="shared" si="40"/>
        <v>#N/A</v>
      </c>
      <c r="O68" s="126" t="e">
        <f t="shared" si="5"/>
        <v>#N/A</v>
      </c>
      <c r="P68" s="126" t="e">
        <f t="shared" si="6"/>
        <v>#N/A</v>
      </c>
      <c r="Q68" s="126" t="e">
        <f t="shared" si="7"/>
        <v>#N/A</v>
      </c>
      <c r="R68" s="126" t="e">
        <f t="shared" si="8"/>
        <v>#N/A</v>
      </c>
      <c r="S68" s="126" t="e">
        <f t="shared" si="9"/>
        <v>#N/A</v>
      </c>
      <c r="T68" s="126" t="e">
        <f t="shared" si="10"/>
        <v>#N/A</v>
      </c>
      <c r="U68" s="94" t="e">
        <f t="shared" si="11"/>
        <v>#N/A</v>
      </c>
      <c r="V68" s="94" t="e">
        <f t="shared" si="12"/>
        <v>#N/A</v>
      </c>
      <c r="W68" s="94" t="e">
        <f t="shared" si="13"/>
        <v>#N/A</v>
      </c>
      <c r="X68" s="94" t="e">
        <f t="shared" si="14"/>
        <v>#N/A</v>
      </c>
      <c r="Y68" s="95">
        <f t="shared" si="15"/>
        <v>0</v>
      </c>
      <c r="Z68" s="126" t="e">
        <f t="shared" si="16"/>
        <v>#N/A</v>
      </c>
      <c r="AA68" s="126" t="e">
        <f t="shared" si="17"/>
        <v>#N/A</v>
      </c>
      <c r="AB68" s="126" t="e">
        <f t="shared" si="18"/>
        <v>#N/A</v>
      </c>
      <c r="AC68" s="126" t="e">
        <f t="shared" si="19"/>
        <v>#N/A</v>
      </c>
      <c r="AD68" s="126"/>
      <c r="AE68" s="126"/>
      <c r="AF68" s="126"/>
      <c r="AG68" s="126"/>
      <c r="AH68" s="126"/>
      <c r="AI68" s="126">
        <f t="shared" si="41"/>
        <v>0</v>
      </c>
      <c r="AJ68" s="126"/>
      <c r="AK68" s="94" t="e">
        <f t="shared" si="21"/>
        <v>#N/A</v>
      </c>
      <c r="AL68" s="94" t="e">
        <f t="shared" si="22"/>
        <v>#N/A</v>
      </c>
      <c r="AM68" s="94" t="e">
        <f t="shared" si="23"/>
        <v>#N/A</v>
      </c>
      <c r="AN68" s="94" t="e">
        <f t="shared" si="24"/>
        <v>#N/A</v>
      </c>
      <c r="AO68" s="95">
        <f t="shared" si="25"/>
        <v>0</v>
      </c>
      <c r="AP68" s="126" t="e">
        <f t="shared" si="26"/>
        <v>#N/A</v>
      </c>
      <c r="AQ68" s="126" t="e">
        <f t="shared" si="27"/>
        <v>#N/A</v>
      </c>
      <c r="AR68" s="126" t="e">
        <f t="shared" si="28"/>
        <v>#N/A</v>
      </c>
      <c r="AS68" s="126" t="e">
        <f t="shared" si="29"/>
        <v>#N/A</v>
      </c>
      <c r="AT68" s="126">
        <v>0</v>
      </c>
      <c r="AU68" s="126"/>
      <c r="AV68" s="126"/>
      <c r="AW68" s="126"/>
      <c r="AX68" s="126"/>
      <c r="AY68" s="126">
        <f t="shared" si="30"/>
        <v>0</v>
      </c>
      <c r="AZ68" s="127"/>
      <c r="BA68" s="127"/>
      <c r="BB68" s="2"/>
      <c r="BC68" s="27" t="e">
        <f t="shared" si="31"/>
        <v>#N/A</v>
      </c>
      <c r="BD68" s="27" t="e">
        <f t="shared" si="32"/>
        <v>#N/A</v>
      </c>
      <c r="BE68" s="27"/>
      <c r="BF68" s="27">
        <f t="shared" si="33"/>
        <v>0</v>
      </c>
      <c r="BG68" s="27"/>
      <c r="BH68" s="27" t="e">
        <f t="shared" si="34"/>
        <v>#N/A</v>
      </c>
      <c r="BI68" s="27" t="e">
        <f t="shared" si="35"/>
        <v>#N/A</v>
      </c>
      <c r="BJ68" s="27" t="e">
        <f t="shared" si="36"/>
        <v>#N/A</v>
      </c>
      <c r="BK68" s="27"/>
      <c r="BL68" s="27"/>
      <c r="BM68" s="27" t="e">
        <f t="shared" si="37"/>
        <v>#N/A</v>
      </c>
      <c r="BN68" s="27" t="e">
        <f t="shared" si="38"/>
        <v>#N/A</v>
      </c>
      <c r="BO68" s="27" t="e">
        <f t="shared" si="39"/>
        <v>#N/A</v>
      </c>
      <c r="BP68" s="27"/>
      <c r="BQ68" s="27"/>
    </row>
    <row r="69" spans="1:69" x14ac:dyDescent="0.25">
      <c r="A69" s="128"/>
      <c r="B69" s="166"/>
      <c r="C69" s="144"/>
      <c r="D69" s="138" t="e">
        <f>VLOOKUP(G69,[1]!ModTbl,2,0)</f>
        <v>#N/A</v>
      </c>
      <c r="E69" s="138" t="e">
        <f>VLOOKUP(G69,[1]!ModTbl,3,0)</f>
        <v>#N/A</v>
      </c>
      <c r="F69" s="138" t="e">
        <f>VLOOKUP(G69,[1]!ModTbl,4,0)</f>
        <v>#N/A</v>
      </c>
      <c r="G69" s="145"/>
      <c r="H69" s="128"/>
      <c r="I69" s="128"/>
      <c r="J69" s="58" t="e">
        <f>VLOOKUP(G69,[1]!ModTbl,8,0)</f>
        <v>#N/A</v>
      </c>
      <c r="K69" s="58" t="e">
        <f>VLOOKUP(G69,[1]!ModTbl,9,0)</f>
        <v>#N/A</v>
      </c>
      <c r="L69" s="58" t="e">
        <f>VLOOKUP(G69,[1]!ModTbl,10,0)</f>
        <v>#N/A</v>
      </c>
      <c r="M69" s="58">
        <v>0</v>
      </c>
      <c r="N69" s="126" t="e">
        <f t="shared" si="40"/>
        <v>#N/A</v>
      </c>
      <c r="O69" s="126" t="e">
        <f t="shared" si="5"/>
        <v>#N/A</v>
      </c>
      <c r="P69" s="126" t="e">
        <f t="shared" si="6"/>
        <v>#N/A</v>
      </c>
      <c r="Q69" s="126" t="e">
        <f t="shared" si="7"/>
        <v>#N/A</v>
      </c>
      <c r="R69" s="126" t="e">
        <f t="shared" si="8"/>
        <v>#N/A</v>
      </c>
      <c r="S69" s="126" t="e">
        <f t="shared" si="9"/>
        <v>#N/A</v>
      </c>
      <c r="T69" s="126" t="e">
        <f t="shared" si="10"/>
        <v>#N/A</v>
      </c>
      <c r="U69" s="94" t="e">
        <f t="shared" si="11"/>
        <v>#N/A</v>
      </c>
      <c r="V69" s="94" t="e">
        <f t="shared" si="12"/>
        <v>#N/A</v>
      </c>
      <c r="W69" s="94" t="e">
        <f t="shared" si="13"/>
        <v>#N/A</v>
      </c>
      <c r="X69" s="94" t="e">
        <f t="shared" si="14"/>
        <v>#N/A</v>
      </c>
      <c r="Y69" s="95">
        <f t="shared" si="15"/>
        <v>0</v>
      </c>
      <c r="Z69" s="126" t="e">
        <f t="shared" si="16"/>
        <v>#N/A</v>
      </c>
      <c r="AA69" s="126" t="e">
        <f t="shared" si="17"/>
        <v>#N/A</v>
      </c>
      <c r="AB69" s="126" t="e">
        <f t="shared" si="18"/>
        <v>#N/A</v>
      </c>
      <c r="AC69" s="126" t="e">
        <f t="shared" si="19"/>
        <v>#N/A</v>
      </c>
      <c r="AD69" s="126"/>
      <c r="AE69" s="126"/>
      <c r="AF69" s="126"/>
      <c r="AG69" s="126"/>
      <c r="AH69" s="126"/>
      <c r="AI69" s="126">
        <f t="shared" si="41"/>
        <v>0</v>
      </c>
      <c r="AJ69" s="126"/>
      <c r="AK69" s="94" t="e">
        <f t="shared" si="21"/>
        <v>#N/A</v>
      </c>
      <c r="AL69" s="94" t="e">
        <f t="shared" si="22"/>
        <v>#N/A</v>
      </c>
      <c r="AM69" s="94" t="e">
        <f t="shared" si="23"/>
        <v>#N/A</v>
      </c>
      <c r="AN69" s="94" t="e">
        <f t="shared" si="24"/>
        <v>#N/A</v>
      </c>
      <c r="AO69" s="95">
        <f t="shared" si="25"/>
        <v>0</v>
      </c>
      <c r="AP69" s="126" t="e">
        <f t="shared" si="26"/>
        <v>#N/A</v>
      </c>
      <c r="AQ69" s="126" t="e">
        <f t="shared" si="27"/>
        <v>#N/A</v>
      </c>
      <c r="AR69" s="126" t="e">
        <f t="shared" si="28"/>
        <v>#N/A</v>
      </c>
      <c r="AS69" s="126" t="e">
        <f t="shared" si="29"/>
        <v>#N/A</v>
      </c>
      <c r="AT69" s="126">
        <v>0</v>
      </c>
      <c r="AU69" s="126"/>
      <c r="AV69" s="126"/>
      <c r="AW69" s="126"/>
      <c r="AX69" s="126"/>
      <c r="AY69" s="126">
        <f t="shared" si="30"/>
        <v>0</v>
      </c>
      <c r="AZ69" s="127"/>
      <c r="BA69" s="127"/>
      <c r="BB69" s="2"/>
      <c r="BC69" s="27" t="e">
        <f t="shared" si="31"/>
        <v>#N/A</v>
      </c>
      <c r="BD69" s="27" t="e">
        <f t="shared" si="32"/>
        <v>#N/A</v>
      </c>
      <c r="BE69" s="27"/>
      <c r="BF69" s="27">
        <f t="shared" si="33"/>
        <v>0</v>
      </c>
      <c r="BG69" s="27"/>
      <c r="BH69" s="27" t="e">
        <f t="shared" si="34"/>
        <v>#N/A</v>
      </c>
      <c r="BI69" s="27" t="e">
        <f t="shared" si="35"/>
        <v>#N/A</v>
      </c>
      <c r="BJ69" s="27" t="e">
        <f t="shared" si="36"/>
        <v>#N/A</v>
      </c>
      <c r="BK69" s="27"/>
      <c r="BL69" s="27"/>
      <c r="BM69" s="27" t="e">
        <f t="shared" si="37"/>
        <v>#N/A</v>
      </c>
      <c r="BN69" s="27" t="e">
        <f t="shared" si="38"/>
        <v>#N/A</v>
      </c>
      <c r="BO69" s="27" t="e">
        <f t="shared" si="39"/>
        <v>#N/A</v>
      </c>
      <c r="BP69" s="27"/>
      <c r="BQ69" s="27"/>
    </row>
    <row r="70" spans="1:69" x14ac:dyDescent="0.25">
      <c r="A70" s="128"/>
      <c r="B70" s="166"/>
      <c r="C70" s="126"/>
      <c r="D70" s="57" t="e">
        <f>VLOOKUP(G70,[1]!ModTbl,2,0)</f>
        <v>#N/A</v>
      </c>
      <c r="E70" s="57" t="e">
        <f>VLOOKUP(G70,[1]!ModTbl,3,0)</f>
        <v>#N/A</v>
      </c>
      <c r="F70" s="57" t="e">
        <f>VLOOKUP(G70,[1]!ModTbl,4,0)</f>
        <v>#N/A</v>
      </c>
      <c r="G70" s="25"/>
      <c r="H70" s="128"/>
      <c r="I70" s="128"/>
      <c r="J70" s="58" t="e">
        <f>VLOOKUP(G70,[1]!ModTbl,8,0)</f>
        <v>#N/A</v>
      </c>
      <c r="K70" s="58" t="e">
        <f>VLOOKUP(G70,[1]!ModTbl,9,0)</f>
        <v>#N/A</v>
      </c>
      <c r="L70" s="58" t="e">
        <f>VLOOKUP(G70,[1]!ModTbl,10,0)</f>
        <v>#N/A</v>
      </c>
      <c r="M70" s="58">
        <v>0</v>
      </c>
      <c r="N70" s="126" t="e">
        <f t="shared" si="40"/>
        <v>#N/A</v>
      </c>
      <c r="O70" s="126" t="e">
        <f t="shared" si="5"/>
        <v>#N/A</v>
      </c>
      <c r="P70" s="126" t="e">
        <f t="shared" si="6"/>
        <v>#N/A</v>
      </c>
      <c r="Q70" s="126" t="e">
        <f t="shared" si="7"/>
        <v>#N/A</v>
      </c>
      <c r="R70" s="126" t="e">
        <f t="shared" si="8"/>
        <v>#N/A</v>
      </c>
      <c r="S70" s="126" t="e">
        <f t="shared" si="9"/>
        <v>#N/A</v>
      </c>
      <c r="T70" s="126" t="e">
        <f t="shared" si="10"/>
        <v>#N/A</v>
      </c>
      <c r="U70" s="94" t="e">
        <f t="shared" si="11"/>
        <v>#N/A</v>
      </c>
      <c r="V70" s="94" t="e">
        <f t="shared" si="12"/>
        <v>#N/A</v>
      </c>
      <c r="W70" s="94" t="e">
        <f t="shared" si="13"/>
        <v>#N/A</v>
      </c>
      <c r="X70" s="94" t="e">
        <f t="shared" si="14"/>
        <v>#N/A</v>
      </c>
      <c r="Y70" s="95">
        <f t="shared" si="15"/>
        <v>0</v>
      </c>
      <c r="Z70" s="126" t="e">
        <f t="shared" si="16"/>
        <v>#N/A</v>
      </c>
      <c r="AA70" s="126" t="e">
        <f t="shared" si="17"/>
        <v>#N/A</v>
      </c>
      <c r="AB70" s="126" t="e">
        <f t="shared" si="18"/>
        <v>#N/A</v>
      </c>
      <c r="AC70" s="126" t="e">
        <f t="shared" si="19"/>
        <v>#N/A</v>
      </c>
      <c r="AD70" s="126"/>
      <c r="AE70" s="126"/>
      <c r="AF70" s="126"/>
      <c r="AG70" s="126"/>
      <c r="AH70" s="126"/>
      <c r="AI70" s="126">
        <f t="shared" si="41"/>
        <v>0</v>
      </c>
      <c r="AJ70" s="126"/>
      <c r="AK70" s="94" t="e">
        <f t="shared" si="21"/>
        <v>#N/A</v>
      </c>
      <c r="AL70" s="94" t="e">
        <f t="shared" si="22"/>
        <v>#N/A</v>
      </c>
      <c r="AM70" s="94" t="e">
        <f t="shared" si="23"/>
        <v>#N/A</v>
      </c>
      <c r="AN70" s="94" t="e">
        <f t="shared" si="24"/>
        <v>#N/A</v>
      </c>
      <c r="AO70" s="95">
        <f t="shared" si="25"/>
        <v>0</v>
      </c>
      <c r="AP70" s="126" t="e">
        <f t="shared" si="26"/>
        <v>#N/A</v>
      </c>
      <c r="AQ70" s="126" t="e">
        <f t="shared" si="27"/>
        <v>#N/A</v>
      </c>
      <c r="AR70" s="126" t="e">
        <f t="shared" si="28"/>
        <v>#N/A</v>
      </c>
      <c r="AS70" s="126" t="e">
        <f t="shared" si="29"/>
        <v>#N/A</v>
      </c>
      <c r="AT70" s="126">
        <v>0</v>
      </c>
      <c r="AU70" s="126"/>
      <c r="AV70" s="126"/>
      <c r="AW70" s="126"/>
      <c r="AX70" s="126"/>
      <c r="AY70" s="126">
        <f t="shared" si="30"/>
        <v>0</v>
      </c>
      <c r="AZ70" s="127"/>
      <c r="BA70" s="127"/>
      <c r="BB70" s="2"/>
      <c r="BC70" s="27" t="e">
        <f t="shared" si="31"/>
        <v>#N/A</v>
      </c>
      <c r="BD70" s="27" t="e">
        <f t="shared" si="32"/>
        <v>#N/A</v>
      </c>
      <c r="BE70" s="27"/>
      <c r="BF70" s="27">
        <f t="shared" si="33"/>
        <v>0</v>
      </c>
      <c r="BG70" s="27"/>
      <c r="BH70" s="27" t="e">
        <f t="shared" si="34"/>
        <v>#N/A</v>
      </c>
      <c r="BI70" s="27" t="e">
        <f t="shared" si="35"/>
        <v>#N/A</v>
      </c>
      <c r="BJ70" s="27" t="e">
        <f t="shared" si="36"/>
        <v>#N/A</v>
      </c>
      <c r="BK70" s="27"/>
      <c r="BL70" s="27"/>
      <c r="BM70" s="27" t="e">
        <f t="shared" si="37"/>
        <v>#N/A</v>
      </c>
      <c r="BN70" s="27" t="e">
        <f t="shared" si="38"/>
        <v>#N/A</v>
      </c>
      <c r="BO70" s="27" t="e">
        <f t="shared" si="39"/>
        <v>#N/A</v>
      </c>
      <c r="BP70" s="27"/>
      <c r="BQ70" s="27"/>
    </row>
    <row r="71" spans="1:69" x14ac:dyDescent="0.25">
      <c r="A71" s="128"/>
      <c r="B71" s="166"/>
      <c r="C71" s="144"/>
      <c r="D71" s="138" t="e">
        <f>VLOOKUP(G71,[1]!ModTbl,2,0)</f>
        <v>#N/A</v>
      </c>
      <c r="E71" s="138" t="e">
        <f>VLOOKUP(G71,[1]!ModTbl,3,0)</f>
        <v>#N/A</v>
      </c>
      <c r="F71" s="138" t="e">
        <f>VLOOKUP(G71,[1]!ModTbl,4,0)</f>
        <v>#N/A</v>
      </c>
      <c r="G71" s="145"/>
      <c r="H71" s="128"/>
      <c r="I71" s="128"/>
      <c r="J71" s="58" t="e">
        <f>VLOOKUP(G71,[1]!ModTbl,8,0)</f>
        <v>#N/A</v>
      </c>
      <c r="K71" s="58" t="e">
        <f>VLOOKUP(G71,[1]!ModTbl,9,0)</f>
        <v>#N/A</v>
      </c>
      <c r="L71" s="58" t="e">
        <f>VLOOKUP(G71,[1]!ModTbl,10,0)</f>
        <v>#N/A</v>
      </c>
      <c r="M71" s="58">
        <v>0</v>
      </c>
      <c r="N71" s="126" t="e">
        <f t="shared" si="40"/>
        <v>#N/A</v>
      </c>
      <c r="O71" s="126" t="e">
        <f t="shared" si="5"/>
        <v>#N/A</v>
      </c>
      <c r="P71" s="126" t="e">
        <f t="shared" si="6"/>
        <v>#N/A</v>
      </c>
      <c r="Q71" s="126" t="e">
        <f t="shared" si="7"/>
        <v>#N/A</v>
      </c>
      <c r="R71" s="126" t="e">
        <f t="shared" si="8"/>
        <v>#N/A</v>
      </c>
      <c r="S71" s="126" t="e">
        <f t="shared" si="9"/>
        <v>#N/A</v>
      </c>
      <c r="T71" s="126" t="e">
        <f t="shared" si="10"/>
        <v>#N/A</v>
      </c>
      <c r="U71" s="94" t="e">
        <f t="shared" si="11"/>
        <v>#N/A</v>
      </c>
      <c r="V71" s="94" t="e">
        <f t="shared" si="12"/>
        <v>#N/A</v>
      </c>
      <c r="W71" s="94" t="e">
        <f t="shared" si="13"/>
        <v>#N/A</v>
      </c>
      <c r="X71" s="94" t="e">
        <f t="shared" si="14"/>
        <v>#N/A</v>
      </c>
      <c r="Y71" s="95">
        <f t="shared" si="15"/>
        <v>0</v>
      </c>
      <c r="Z71" s="126" t="e">
        <f t="shared" si="16"/>
        <v>#N/A</v>
      </c>
      <c r="AA71" s="126" t="e">
        <f t="shared" si="17"/>
        <v>#N/A</v>
      </c>
      <c r="AB71" s="126" t="e">
        <f t="shared" si="18"/>
        <v>#N/A</v>
      </c>
      <c r="AC71" s="126" t="e">
        <f t="shared" si="19"/>
        <v>#N/A</v>
      </c>
      <c r="AD71" s="126"/>
      <c r="AE71" s="126"/>
      <c r="AF71" s="126"/>
      <c r="AG71" s="126"/>
      <c r="AH71" s="126"/>
      <c r="AI71" s="126">
        <f t="shared" si="41"/>
        <v>0</v>
      </c>
      <c r="AJ71" s="126"/>
      <c r="AK71" s="94" t="e">
        <f t="shared" si="21"/>
        <v>#N/A</v>
      </c>
      <c r="AL71" s="94" t="e">
        <f t="shared" si="22"/>
        <v>#N/A</v>
      </c>
      <c r="AM71" s="94" t="e">
        <f t="shared" si="23"/>
        <v>#N/A</v>
      </c>
      <c r="AN71" s="94" t="e">
        <f t="shared" si="24"/>
        <v>#N/A</v>
      </c>
      <c r="AO71" s="95">
        <f t="shared" si="25"/>
        <v>0</v>
      </c>
      <c r="AP71" s="126" t="e">
        <f t="shared" si="26"/>
        <v>#N/A</v>
      </c>
      <c r="AQ71" s="126" t="e">
        <f t="shared" si="27"/>
        <v>#N/A</v>
      </c>
      <c r="AR71" s="126" t="e">
        <f t="shared" si="28"/>
        <v>#N/A</v>
      </c>
      <c r="AS71" s="126" t="e">
        <f t="shared" si="29"/>
        <v>#N/A</v>
      </c>
      <c r="AT71" s="126">
        <v>0</v>
      </c>
      <c r="AU71" s="126"/>
      <c r="AV71" s="126"/>
      <c r="AW71" s="126"/>
      <c r="AX71" s="126"/>
      <c r="AY71" s="126">
        <f t="shared" si="30"/>
        <v>0</v>
      </c>
      <c r="AZ71" s="127"/>
      <c r="BA71" s="127"/>
      <c r="BB71" s="2"/>
      <c r="BC71" s="27" t="e">
        <f t="shared" si="31"/>
        <v>#N/A</v>
      </c>
      <c r="BD71" s="27" t="e">
        <f t="shared" si="32"/>
        <v>#N/A</v>
      </c>
      <c r="BE71" s="27"/>
      <c r="BF71" s="27">
        <f t="shared" si="33"/>
        <v>0</v>
      </c>
      <c r="BG71" s="27"/>
      <c r="BH71" s="27" t="e">
        <f t="shared" si="34"/>
        <v>#N/A</v>
      </c>
      <c r="BI71" s="27" t="e">
        <f t="shared" si="35"/>
        <v>#N/A</v>
      </c>
      <c r="BJ71" s="27" t="e">
        <f t="shared" si="36"/>
        <v>#N/A</v>
      </c>
      <c r="BK71" s="27"/>
      <c r="BL71" s="27"/>
      <c r="BM71" s="27" t="e">
        <f t="shared" si="37"/>
        <v>#N/A</v>
      </c>
      <c r="BN71" s="27" t="e">
        <f t="shared" si="38"/>
        <v>#N/A</v>
      </c>
      <c r="BO71" s="27" t="e">
        <f t="shared" si="39"/>
        <v>#N/A</v>
      </c>
      <c r="BP71" s="27"/>
      <c r="BQ71" s="27"/>
    </row>
    <row r="72" spans="1:69" x14ac:dyDescent="0.25">
      <c r="A72" s="128"/>
      <c r="B72" s="166"/>
      <c r="C72" s="144"/>
      <c r="D72" s="138" t="e">
        <f>VLOOKUP(G72,[1]!ModTbl,2,0)</f>
        <v>#N/A</v>
      </c>
      <c r="E72" s="138" t="e">
        <f>VLOOKUP(G72,[1]!ModTbl,3,0)</f>
        <v>#N/A</v>
      </c>
      <c r="F72" s="138" t="e">
        <f>VLOOKUP(G72,[1]!ModTbl,4,0)</f>
        <v>#N/A</v>
      </c>
      <c r="G72" s="145"/>
      <c r="H72" s="128"/>
      <c r="I72" s="128"/>
      <c r="J72" s="58" t="e">
        <f>VLOOKUP(G72,[1]!ModTbl,8,0)</f>
        <v>#N/A</v>
      </c>
      <c r="K72" s="58" t="e">
        <f>VLOOKUP(G72,[1]!ModTbl,9,0)</f>
        <v>#N/A</v>
      </c>
      <c r="L72" s="58" t="e">
        <f>VLOOKUP(G72,[1]!ModTbl,10,0)</f>
        <v>#N/A</v>
      </c>
      <c r="M72" s="58">
        <v>0</v>
      </c>
      <c r="N72" s="126" t="e">
        <f t="shared" si="40"/>
        <v>#N/A</v>
      </c>
      <c r="O72" s="126" t="e">
        <f t="shared" si="5"/>
        <v>#N/A</v>
      </c>
      <c r="P72" s="126" t="e">
        <f t="shared" si="6"/>
        <v>#N/A</v>
      </c>
      <c r="Q72" s="126" t="e">
        <f t="shared" si="7"/>
        <v>#N/A</v>
      </c>
      <c r="R72" s="126" t="e">
        <f t="shared" si="8"/>
        <v>#N/A</v>
      </c>
      <c r="S72" s="126" t="e">
        <f t="shared" si="9"/>
        <v>#N/A</v>
      </c>
      <c r="T72" s="126" t="e">
        <f t="shared" si="10"/>
        <v>#N/A</v>
      </c>
      <c r="U72" s="94" t="e">
        <f t="shared" si="11"/>
        <v>#N/A</v>
      </c>
      <c r="V72" s="94" t="e">
        <f t="shared" si="12"/>
        <v>#N/A</v>
      </c>
      <c r="W72" s="94" t="e">
        <f t="shared" si="13"/>
        <v>#N/A</v>
      </c>
      <c r="X72" s="94" t="e">
        <f t="shared" si="14"/>
        <v>#N/A</v>
      </c>
      <c r="Y72" s="95">
        <f t="shared" si="15"/>
        <v>0</v>
      </c>
      <c r="Z72" s="126" t="e">
        <f t="shared" si="16"/>
        <v>#N/A</v>
      </c>
      <c r="AA72" s="126" t="e">
        <f t="shared" si="17"/>
        <v>#N/A</v>
      </c>
      <c r="AB72" s="126" t="e">
        <f t="shared" si="18"/>
        <v>#N/A</v>
      </c>
      <c r="AC72" s="126" t="e">
        <f t="shared" si="19"/>
        <v>#N/A</v>
      </c>
      <c r="AD72" s="126"/>
      <c r="AE72" s="126"/>
      <c r="AF72" s="126"/>
      <c r="AG72" s="126"/>
      <c r="AH72" s="126"/>
      <c r="AI72" s="126">
        <f t="shared" si="41"/>
        <v>0</v>
      </c>
      <c r="AJ72" s="126"/>
      <c r="AK72" s="94" t="e">
        <f t="shared" si="21"/>
        <v>#N/A</v>
      </c>
      <c r="AL72" s="94" t="e">
        <f t="shared" si="22"/>
        <v>#N/A</v>
      </c>
      <c r="AM72" s="94" t="e">
        <f t="shared" si="23"/>
        <v>#N/A</v>
      </c>
      <c r="AN72" s="94" t="e">
        <f t="shared" si="24"/>
        <v>#N/A</v>
      </c>
      <c r="AO72" s="95">
        <f t="shared" si="25"/>
        <v>0</v>
      </c>
      <c r="AP72" s="126" t="e">
        <f t="shared" si="26"/>
        <v>#N/A</v>
      </c>
      <c r="AQ72" s="126" t="e">
        <f t="shared" si="27"/>
        <v>#N/A</v>
      </c>
      <c r="AR72" s="126" t="e">
        <f t="shared" si="28"/>
        <v>#N/A</v>
      </c>
      <c r="AS72" s="126" t="e">
        <f t="shared" si="29"/>
        <v>#N/A</v>
      </c>
      <c r="AT72" s="126">
        <v>0</v>
      </c>
      <c r="AU72" s="126"/>
      <c r="AV72" s="126"/>
      <c r="AW72" s="126"/>
      <c r="AX72" s="126"/>
      <c r="AY72" s="126">
        <f t="shared" si="30"/>
        <v>0</v>
      </c>
      <c r="AZ72" s="127"/>
      <c r="BA72" s="127"/>
      <c r="BB72" s="2"/>
      <c r="BC72" s="27" t="e">
        <f t="shared" si="31"/>
        <v>#N/A</v>
      </c>
      <c r="BD72" s="27" t="e">
        <f t="shared" si="32"/>
        <v>#N/A</v>
      </c>
      <c r="BE72" s="27"/>
      <c r="BF72" s="27">
        <f t="shared" si="33"/>
        <v>0</v>
      </c>
      <c r="BG72" s="27"/>
      <c r="BH72" s="27" t="e">
        <f t="shared" si="34"/>
        <v>#N/A</v>
      </c>
      <c r="BI72" s="27" t="e">
        <f t="shared" si="35"/>
        <v>#N/A</v>
      </c>
      <c r="BJ72" s="27" t="e">
        <f t="shared" si="36"/>
        <v>#N/A</v>
      </c>
      <c r="BK72" s="27"/>
      <c r="BL72" s="27"/>
      <c r="BM72" s="27" t="e">
        <f t="shared" si="37"/>
        <v>#N/A</v>
      </c>
      <c r="BN72" s="27" t="e">
        <f t="shared" si="38"/>
        <v>#N/A</v>
      </c>
      <c r="BO72" s="27" t="e">
        <f t="shared" si="39"/>
        <v>#N/A</v>
      </c>
      <c r="BP72" s="27"/>
      <c r="BQ72" s="27"/>
    </row>
    <row r="73" spans="1:69" x14ac:dyDescent="0.25">
      <c r="A73" s="128"/>
      <c r="B73" s="166"/>
      <c r="C73" s="144"/>
      <c r="D73" s="138" t="e">
        <f>VLOOKUP(G73,[1]!ModTbl,2,0)</f>
        <v>#N/A</v>
      </c>
      <c r="E73" s="138" t="e">
        <f>VLOOKUP(G73,[1]!ModTbl,3,0)</f>
        <v>#N/A</v>
      </c>
      <c r="F73" s="138" t="e">
        <f>VLOOKUP(G73,[1]!ModTbl,4,0)</f>
        <v>#N/A</v>
      </c>
      <c r="G73" s="145"/>
      <c r="H73" s="128"/>
      <c r="I73" s="128"/>
      <c r="J73" s="58" t="e">
        <f>VLOOKUP(G73,[1]!ModTbl,8,0)</f>
        <v>#N/A</v>
      </c>
      <c r="K73" s="58" t="e">
        <f>VLOOKUP(G73,[1]!ModTbl,9,0)</f>
        <v>#N/A</v>
      </c>
      <c r="L73" s="58" t="e">
        <f>VLOOKUP(G73,[1]!ModTbl,10,0)</f>
        <v>#N/A</v>
      </c>
      <c r="M73" s="58">
        <v>0</v>
      </c>
      <c r="N73" s="126" t="e">
        <f t="shared" si="40"/>
        <v>#N/A</v>
      </c>
      <c r="O73" s="126" t="e">
        <f t="shared" si="5"/>
        <v>#N/A</v>
      </c>
      <c r="P73" s="126" t="e">
        <f t="shared" si="6"/>
        <v>#N/A</v>
      </c>
      <c r="Q73" s="126" t="e">
        <f t="shared" si="7"/>
        <v>#N/A</v>
      </c>
      <c r="R73" s="126" t="e">
        <f t="shared" si="8"/>
        <v>#N/A</v>
      </c>
      <c r="S73" s="126" t="e">
        <f t="shared" si="9"/>
        <v>#N/A</v>
      </c>
      <c r="T73" s="126" t="e">
        <f t="shared" si="10"/>
        <v>#N/A</v>
      </c>
      <c r="U73" s="94" t="e">
        <f t="shared" si="11"/>
        <v>#N/A</v>
      </c>
      <c r="V73" s="94" t="e">
        <f t="shared" si="12"/>
        <v>#N/A</v>
      </c>
      <c r="W73" s="94" t="e">
        <f t="shared" si="13"/>
        <v>#N/A</v>
      </c>
      <c r="X73" s="94" t="e">
        <f t="shared" si="14"/>
        <v>#N/A</v>
      </c>
      <c r="Y73" s="95">
        <f t="shared" si="15"/>
        <v>0</v>
      </c>
      <c r="Z73" s="126" t="e">
        <f t="shared" si="16"/>
        <v>#N/A</v>
      </c>
      <c r="AA73" s="126" t="e">
        <f t="shared" si="17"/>
        <v>#N/A</v>
      </c>
      <c r="AB73" s="126" t="e">
        <f t="shared" si="18"/>
        <v>#N/A</v>
      </c>
      <c r="AC73" s="126" t="e">
        <f t="shared" si="19"/>
        <v>#N/A</v>
      </c>
      <c r="AD73" s="126"/>
      <c r="AE73" s="126"/>
      <c r="AF73" s="126"/>
      <c r="AG73" s="126"/>
      <c r="AH73" s="126"/>
      <c r="AI73" s="126">
        <f t="shared" si="41"/>
        <v>0</v>
      </c>
      <c r="AJ73" s="126"/>
      <c r="AK73" s="94" t="e">
        <f t="shared" si="21"/>
        <v>#N/A</v>
      </c>
      <c r="AL73" s="94" t="e">
        <f t="shared" si="22"/>
        <v>#N/A</v>
      </c>
      <c r="AM73" s="94" t="e">
        <f t="shared" si="23"/>
        <v>#N/A</v>
      </c>
      <c r="AN73" s="94" t="e">
        <f t="shared" si="24"/>
        <v>#N/A</v>
      </c>
      <c r="AO73" s="95">
        <f t="shared" si="25"/>
        <v>0</v>
      </c>
      <c r="AP73" s="126" t="e">
        <f t="shared" si="26"/>
        <v>#N/A</v>
      </c>
      <c r="AQ73" s="126" t="e">
        <f t="shared" si="27"/>
        <v>#N/A</v>
      </c>
      <c r="AR73" s="126" t="e">
        <f t="shared" si="28"/>
        <v>#N/A</v>
      </c>
      <c r="AS73" s="126" t="e">
        <f t="shared" si="29"/>
        <v>#N/A</v>
      </c>
      <c r="AT73" s="126">
        <v>0</v>
      </c>
      <c r="AU73" s="126"/>
      <c r="AV73" s="126"/>
      <c r="AW73" s="126"/>
      <c r="AX73" s="126"/>
      <c r="AY73" s="126">
        <f t="shared" si="30"/>
        <v>0</v>
      </c>
      <c r="AZ73" s="127"/>
      <c r="BA73" s="127"/>
      <c r="BB73" s="2"/>
      <c r="BC73" s="27" t="e">
        <f t="shared" si="31"/>
        <v>#N/A</v>
      </c>
      <c r="BD73" s="27" t="e">
        <f t="shared" si="32"/>
        <v>#N/A</v>
      </c>
      <c r="BE73" s="27"/>
      <c r="BF73" s="27">
        <f t="shared" si="33"/>
        <v>0</v>
      </c>
      <c r="BG73" s="27"/>
      <c r="BH73" s="27" t="e">
        <f t="shared" si="34"/>
        <v>#N/A</v>
      </c>
      <c r="BI73" s="27" t="e">
        <f t="shared" si="35"/>
        <v>#N/A</v>
      </c>
      <c r="BJ73" s="27" t="e">
        <f t="shared" si="36"/>
        <v>#N/A</v>
      </c>
      <c r="BK73" s="27"/>
      <c r="BL73" s="27"/>
      <c r="BM73" s="27" t="e">
        <f t="shared" si="37"/>
        <v>#N/A</v>
      </c>
      <c r="BN73" s="27" t="e">
        <f t="shared" si="38"/>
        <v>#N/A</v>
      </c>
      <c r="BO73" s="27" t="e">
        <f t="shared" si="39"/>
        <v>#N/A</v>
      </c>
      <c r="BP73" s="27"/>
      <c r="BQ73" s="27"/>
    </row>
    <row r="74" spans="1:69" x14ac:dyDescent="0.25">
      <c r="A74" s="128"/>
      <c r="B74" s="166"/>
      <c r="C74" s="144"/>
      <c r="D74" s="138" t="e">
        <f>VLOOKUP(G74,[1]!ModTbl,2,0)</f>
        <v>#N/A</v>
      </c>
      <c r="E74" s="138" t="e">
        <f>VLOOKUP(G74,[1]!ModTbl,3,0)</f>
        <v>#N/A</v>
      </c>
      <c r="F74" s="138" t="e">
        <f>VLOOKUP(G74,[1]!ModTbl,4,0)</f>
        <v>#N/A</v>
      </c>
      <c r="G74" s="145"/>
      <c r="H74" s="128"/>
      <c r="I74" s="128"/>
      <c r="J74" s="58" t="e">
        <f>VLOOKUP(G74,[1]!ModTbl,8,0)</f>
        <v>#N/A</v>
      </c>
      <c r="K74" s="58" t="e">
        <f>VLOOKUP(G74,[1]!ModTbl,9,0)</f>
        <v>#N/A</v>
      </c>
      <c r="L74" s="58" t="e">
        <f>VLOOKUP(G74,[1]!ModTbl,10,0)</f>
        <v>#N/A</v>
      </c>
      <c r="M74" s="58">
        <v>0</v>
      </c>
      <c r="N74" s="126" t="e">
        <f t="shared" si="40"/>
        <v>#N/A</v>
      </c>
      <c r="O74" s="126" t="e">
        <f t="shared" si="5"/>
        <v>#N/A</v>
      </c>
      <c r="P74" s="126" t="e">
        <f t="shared" si="6"/>
        <v>#N/A</v>
      </c>
      <c r="Q74" s="126" t="e">
        <f t="shared" si="7"/>
        <v>#N/A</v>
      </c>
      <c r="R74" s="126" t="e">
        <f t="shared" si="8"/>
        <v>#N/A</v>
      </c>
      <c r="S74" s="126" t="e">
        <f t="shared" si="9"/>
        <v>#N/A</v>
      </c>
      <c r="T74" s="126" t="e">
        <f t="shared" si="10"/>
        <v>#N/A</v>
      </c>
      <c r="U74" s="94" t="e">
        <f t="shared" si="11"/>
        <v>#N/A</v>
      </c>
      <c r="V74" s="94" t="e">
        <f t="shared" si="12"/>
        <v>#N/A</v>
      </c>
      <c r="W74" s="94" t="e">
        <f t="shared" si="13"/>
        <v>#N/A</v>
      </c>
      <c r="X74" s="94" t="e">
        <f t="shared" si="14"/>
        <v>#N/A</v>
      </c>
      <c r="Y74" s="95">
        <f t="shared" si="15"/>
        <v>0</v>
      </c>
      <c r="Z74" s="126" t="e">
        <f t="shared" si="16"/>
        <v>#N/A</v>
      </c>
      <c r="AA74" s="126" t="e">
        <f t="shared" si="17"/>
        <v>#N/A</v>
      </c>
      <c r="AB74" s="126" t="e">
        <f t="shared" si="18"/>
        <v>#N/A</v>
      </c>
      <c r="AC74" s="126" t="e">
        <f t="shared" si="19"/>
        <v>#N/A</v>
      </c>
      <c r="AD74" s="126"/>
      <c r="AE74" s="126"/>
      <c r="AF74" s="126"/>
      <c r="AG74" s="126"/>
      <c r="AH74" s="126"/>
      <c r="AI74" s="126">
        <f t="shared" si="41"/>
        <v>0</v>
      </c>
      <c r="AJ74" s="126"/>
      <c r="AK74" s="94" t="e">
        <f t="shared" si="21"/>
        <v>#N/A</v>
      </c>
      <c r="AL74" s="94" t="e">
        <f t="shared" si="22"/>
        <v>#N/A</v>
      </c>
      <c r="AM74" s="94" t="e">
        <f t="shared" si="23"/>
        <v>#N/A</v>
      </c>
      <c r="AN74" s="94" t="e">
        <f t="shared" si="24"/>
        <v>#N/A</v>
      </c>
      <c r="AO74" s="95">
        <f t="shared" si="25"/>
        <v>0</v>
      </c>
      <c r="AP74" s="126" t="e">
        <f t="shared" si="26"/>
        <v>#N/A</v>
      </c>
      <c r="AQ74" s="126" t="e">
        <f t="shared" si="27"/>
        <v>#N/A</v>
      </c>
      <c r="AR74" s="126" t="e">
        <f t="shared" si="28"/>
        <v>#N/A</v>
      </c>
      <c r="AS74" s="126" t="e">
        <f t="shared" si="29"/>
        <v>#N/A</v>
      </c>
      <c r="AT74" s="126">
        <v>0</v>
      </c>
      <c r="AU74" s="126"/>
      <c r="AV74" s="126"/>
      <c r="AW74" s="126"/>
      <c r="AX74" s="126"/>
      <c r="AY74" s="126">
        <f t="shared" si="30"/>
        <v>0</v>
      </c>
      <c r="AZ74" s="127"/>
      <c r="BA74" s="127"/>
      <c r="BB74" s="2"/>
      <c r="BC74" s="27" t="e">
        <f t="shared" si="31"/>
        <v>#N/A</v>
      </c>
      <c r="BD74" s="27" t="e">
        <f t="shared" si="32"/>
        <v>#N/A</v>
      </c>
      <c r="BE74" s="27"/>
      <c r="BF74" s="27">
        <f t="shared" si="33"/>
        <v>0</v>
      </c>
      <c r="BG74" s="27"/>
      <c r="BH74" s="27" t="e">
        <f t="shared" si="34"/>
        <v>#N/A</v>
      </c>
      <c r="BI74" s="27" t="e">
        <f t="shared" si="35"/>
        <v>#N/A</v>
      </c>
      <c r="BJ74" s="27" t="e">
        <f t="shared" si="36"/>
        <v>#N/A</v>
      </c>
      <c r="BK74" s="27"/>
      <c r="BL74" s="27"/>
      <c r="BM74" s="27" t="e">
        <f t="shared" si="37"/>
        <v>#N/A</v>
      </c>
      <c r="BN74" s="27" t="e">
        <f t="shared" si="38"/>
        <v>#N/A</v>
      </c>
      <c r="BO74" s="27" t="e">
        <f t="shared" si="39"/>
        <v>#N/A</v>
      </c>
      <c r="BP74" s="27"/>
      <c r="BQ74" s="27"/>
    </row>
    <row r="75" spans="1:69" x14ac:dyDescent="0.25">
      <c r="A75" s="128"/>
      <c r="B75" s="166"/>
      <c r="C75" s="144"/>
      <c r="D75" s="138" t="e">
        <f>VLOOKUP(G75,[1]!ModTbl,2,0)</f>
        <v>#N/A</v>
      </c>
      <c r="E75" s="138" t="e">
        <f>VLOOKUP(G75,[1]!ModTbl,3,0)</f>
        <v>#N/A</v>
      </c>
      <c r="F75" s="138" t="e">
        <f>VLOOKUP(G75,[1]!ModTbl,4,0)</f>
        <v>#N/A</v>
      </c>
      <c r="G75" s="145"/>
      <c r="H75" s="128"/>
      <c r="I75" s="128"/>
      <c r="J75" s="58" t="e">
        <f>VLOOKUP(G75,[1]!ModTbl,8,0)</f>
        <v>#N/A</v>
      </c>
      <c r="K75" s="58" t="e">
        <f>VLOOKUP(G75,[1]!ModTbl,9,0)</f>
        <v>#N/A</v>
      </c>
      <c r="L75" s="58" t="e">
        <f>VLOOKUP(G75,[1]!ModTbl,10,0)</f>
        <v>#N/A</v>
      </c>
      <c r="M75" s="58">
        <v>0</v>
      </c>
      <c r="N75" s="126" t="e">
        <f t="shared" si="40"/>
        <v>#N/A</v>
      </c>
      <c r="O75" s="126" t="e">
        <f t="shared" si="5"/>
        <v>#N/A</v>
      </c>
      <c r="P75" s="126" t="e">
        <f t="shared" si="6"/>
        <v>#N/A</v>
      </c>
      <c r="Q75" s="126" t="e">
        <f t="shared" si="7"/>
        <v>#N/A</v>
      </c>
      <c r="R75" s="126" t="e">
        <f t="shared" si="8"/>
        <v>#N/A</v>
      </c>
      <c r="S75" s="126" t="e">
        <f t="shared" si="9"/>
        <v>#N/A</v>
      </c>
      <c r="T75" s="126" t="e">
        <f t="shared" si="10"/>
        <v>#N/A</v>
      </c>
      <c r="U75" s="94" t="e">
        <f t="shared" si="11"/>
        <v>#N/A</v>
      </c>
      <c r="V75" s="94" t="e">
        <f t="shared" si="12"/>
        <v>#N/A</v>
      </c>
      <c r="W75" s="94" t="e">
        <f t="shared" si="13"/>
        <v>#N/A</v>
      </c>
      <c r="X75" s="94" t="e">
        <f t="shared" si="14"/>
        <v>#N/A</v>
      </c>
      <c r="Y75" s="95">
        <f t="shared" si="15"/>
        <v>0</v>
      </c>
      <c r="Z75" s="126" t="e">
        <f t="shared" si="16"/>
        <v>#N/A</v>
      </c>
      <c r="AA75" s="126" t="e">
        <f t="shared" si="17"/>
        <v>#N/A</v>
      </c>
      <c r="AB75" s="126" t="e">
        <f t="shared" si="18"/>
        <v>#N/A</v>
      </c>
      <c r="AC75" s="126" t="e">
        <f t="shared" si="19"/>
        <v>#N/A</v>
      </c>
      <c r="AD75" s="126"/>
      <c r="AE75" s="126"/>
      <c r="AF75" s="126"/>
      <c r="AG75" s="126"/>
      <c r="AH75" s="126"/>
      <c r="AI75" s="126">
        <f t="shared" si="41"/>
        <v>0</v>
      </c>
      <c r="AJ75" s="126"/>
      <c r="AK75" s="94" t="e">
        <f t="shared" si="21"/>
        <v>#N/A</v>
      </c>
      <c r="AL75" s="94" t="e">
        <f t="shared" si="22"/>
        <v>#N/A</v>
      </c>
      <c r="AM75" s="94" t="e">
        <f t="shared" si="23"/>
        <v>#N/A</v>
      </c>
      <c r="AN75" s="94" t="e">
        <f t="shared" si="24"/>
        <v>#N/A</v>
      </c>
      <c r="AO75" s="95">
        <f t="shared" si="25"/>
        <v>0</v>
      </c>
      <c r="AP75" s="126" t="e">
        <f t="shared" si="26"/>
        <v>#N/A</v>
      </c>
      <c r="AQ75" s="126" t="e">
        <f t="shared" si="27"/>
        <v>#N/A</v>
      </c>
      <c r="AR75" s="126" t="e">
        <f t="shared" si="28"/>
        <v>#N/A</v>
      </c>
      <c r="AS75" s="126" t="e">
        <f t="shared" si="29"/>
        <v>#N/A</v>
      </c>
      <c r="AT75" s="126">
        <v>0</v>
      </c>
      <c r="AU75" s="126"/>
      <c r="AV75" s="126"/>
      <c r="AW75" s="126"/>
      <c r="AX75" s="126"/>
      <c r="AY75" s="126">
        <f t="shared" si="30"/>
        <v>0</v>
      </c>
      <c r="AZ75" s="127"/>
      <c r="BA75" s="127"/>
      <c r="BB75" s="2"/>
      <c r="BC75" s="27" t="e">
        <f t="shared" si="31"/>
        <v>#N/A</v>
      </c>
      <c r="BD75" s="27" t="e">
        <f t="shared" si="32"/>
        <v>#N/A</v>
      </c>
      <c r="BE75" s="27"/>
      <c r="BF75" s="27">
        <f t="shared" si="33"/>
        <v>0</v>
      </c>
      <c r="BG75" s="27"/>
      <c r="BH75" s="27" t="e">
        <f t="shared" si="34"/>
        <v>#N/A</v>
      </c>
      <c r="BI75" s="27" t="e">
        <f t="shared" si="35"/>
        <v>#N/A</v>
      </c>
      <c r="BJ75" s="27" t="e">
        <f t="shared" si="36"/>
        <v>#N/A</v>
      </c>
      <c r="BK75" s="27"/>
      <c r="BL75" s="27"/>
      <c r="BM75" s="27" t="e">
        <f t="shared" si="37"/>
        <v>#N/A</v>
      </c>
      <c r="BN75" s="27" t="e">
        <f t="shared" si="38"/>
        <v>#N/A</v>
      </c>
      <c r="BO75" s="27" t="e">
        <f t="shared" si="39"/>
        <v>#N/A</v>
      </c>
      <c r="BP75" s="27"/>
      <c r="BQ75" s="27"/>
    </row>
    <row r="76" spans="1:69" x14ac:dyDescent="0.25">
      <c r="A76" s="128"/>
      <c r="B76" s="166"/>
      <c r="C76" s="126"/>
      <c r="D76" s="57" t="e">
        <f>VLOOKUP(G76,[1]!ModTbl,2,0)</f>
        <v>#N/A</v>
      </c>
      <c r="E76" s="57" t="e">
        <f>VLOOKUP(G76,[1]!ModTbl,3,0)</f>
        <v>#N/A</v>
      </c>
      <c r="F76" s="57" t="e">
        <f>VLOOKUP(G76,[1]!ModTbl,4,0)</f>
        <v>#N/A</v>
      </c>
      <c r="G76" s="25"/>
      <c r="H76" s="128"/>
      <c r="I76" s="128"/>
      <c r="J76" s="58" t="e">
        <f>VLOOKUP(G76,[1]!ModTbl,8,0)</f>
        <v>#N/A</v>
      </c>
      <c r="K76" s="58" t="e">
        <f>VLOOKUP(G76,[1]!ModTbl,9,0)</f>
        <v>#N/A</v>
      </c>
      <c r="L76" s="58" t="e">
        <f>VLOOKUP(G76,[1]!ModTbl,10,0)</f>
        <v>#N/A</v>
      </c>
      <c r="M76" s="58">
        <v>0</v>
      </c>
      <c r="N76" s="126" t="e">
        <f t="shared" si="40"/>
        <v>#N/A</v>
      </c>
      <c r="O76" s="126" t="e">
        <f t="shared" si="5"/>
        <v>#N/A</v>
      </c>
      <c r="P76" s="126" t="e">
        <f t="shared" si="6"/>
        <v>#N/A</v>
      </c>
      <c r="Q76" s="126" t="e">
        <f t="shared" si="7"/>
        <v>#N/A</v>
      </c>
      <c r="R76" s="126" t="e">
        <f t="shared" si="8"/>
        <v>#N/A</v>
      </c>
      <c r="S76" s="126" t="e">
        <f t="shared" si="9"/>
        <v>#N/A</v>
      </c>
      <c r="T76" s="126" t="e">
        <f t="shared" si="10"/>
        <v>#N/A</v>
      </c>
      <c r="U76" s="94" t="e">
        <f t="shared" si="11"/>
        <v>#N/A</v>
      </c>
      <c r="V76" s="94" t="e">
        <f t="shared" si="12"/>
        <v>#N/A</v>
      </c>
      <c r="W76" s="94" t="e">
        <f t="shared" si="13"/>
        <v>#N/A</v>
      </c>
      <c r="X76" s="94" t="e">
        <f t="shared" si="14"/>
        <v>#N/A</v>
      </c>
      <c r="Y76" s="95">
        <f t="shared" si="15"/>
        <v>0</v>
      </c>
      <c r="Z76" s="126" t="e">
        <f t="shared" si="16"/>
        <v>#N/A</v>
      </c>
      <c r="AA76" s="126" t="e">
        <f t="shared" si="17"/>
        <v>#N/A</v>
      </c>
      <c r="AB76" s="126" t="e">
        <f t="shared" si="18"/>
        <v>#N/A</v>
      </c>
      <c r="AC76" s="126" t="e">
        <f t="shared" si="19"/>
        <v>#N/A</v>
      </c>
      <c r="AD76" s="126"/>
      <c r="AE76" s="126"/>
      <c r="AF76" s="126"/>
      <c r="AG76" s="126"/>
      <c r="AH76" s="126"/>
      <c r="AI76" s="126">
        <f t="shared" si="41"/>
        <v>0</v>
      </c>
      <c r="AJ76" s="126"/>
      <c r="AK76" s="94" t="e">
        <f t="shared" si="21"/>
        <v>#N/A</v>
      </c>
      <c r="AL76" s="94" t="e">
        <f t="shared" si="22"/>
        <v>#N/A</v>
      </c>
      <c r="AM76" s="94" t="e">
        <f t="shared" si="23"/>
        <v>#N/A</v>
      </c>
      <c r="AN76" s="94" t="e">
        <f t="shared" si="24"/>
        <v>#N/A</v>
      </c>
      <c r="AO76" s="95">
        <f t="shared" si="25"/>
        <v>0</v>
      </c>
      <c r="AP76" s="126" t="e">
        <f t="shared" si="26"/>
        <v>#N/A</v>
      </c>
      <c r="AQ76" s="126" t="e">
        <f t="shared" si="27"/>
        <v>#N/A</v>
      </c>
      <c r="AR76" s="126" t="e">
        <f t="shared" si="28"/>
        <v>#N/A</v>
      </c>
      <c r="AS76" s="126" t="e">
        <f t="shared" si="29"/>
        <v>#N/A</v>
      </c>
      <c r="AT76" s="126">
        <v>0</v>
      </c>
      <c r="AU76" s="126"/>
      <c r="AV76" s="126"/>
      <c r="AW76" s="126"/>
      <c r="AX76" s="126"/>
      <c r="AY76" s="126">
        <f t="shared" si="30"/>
        <v>0</v>
      </c>
      <c r="AZ76" s="127"/>
      <c r="BA76" s="127"/>
      <c r="BB76" s="2"/>
      <c r="BC76" s="27" t="e">
        <f t="shared" si="31"/>
        <v>#N/A</v>
      </c>
      <c r="BD76" s="27" t="e">
        <f t="shared" si="32"/>
        <v>#N/A</v>
      </c>
      <c r="BE76" s="27"/>
      <c r="BF76" s="27">
        <f t="shared" si="33"/>
        <v>0</v>
      </c>
      <c r="BG76" s="27"/>
      <c r="BH76" s="27" t="e">
        <f t="shared" si="34"/>
        <v>#N/A</v>
      </c>
      <c r="BI76" s="27" t="e">
        <f t="shared" si="35"/>
        <v>#N/A</v>
      </c>
      <c r="BJ76" s="27" t="e">
        <f t="shared" si="36"/>
        <v>#N/A</v>
      </c>
      <c r="BK76" s="27"/>
      <c r="BL76" s="27"/>
      <c r="BM76" s="27" t="e">
        <f t="shared" si="37"/>
        <v>#N/A</v>
      </c>
      <c r="BN76" s="27" t="e">
        <f t="shared" si="38"/>
        <v>#N/A</v>
      </c>
      <c r="BO76" s="27" t="e">
        <f t="shared" si="39"/>
        <v>#N/A</v>
      </c>
      <c r="BP76" s="27"/>
      <c r="BQ76" s="27"/>
    </row>
    <row r="77" spans="1:69" x14ac:dyDescent="0.25">
      <c r="A77" s="128"/>
      <c r="B77" s="166"/>
      <c r="C77" s="126"/>
      <c r="D77" s="57" t="e">
        <f>VLOOKUP(G77,[1]!ModTbl,2,0)</f>
        <v>#N/A</v>
      </c>
      <c r="E77" s="57" t="e">
        <f>VLOOKUP(G77,[1]!ModTbl,3,0)</f>
        <v>#N/A</v>
      </c>
      <c r="F77" s="57" t="e">
        <f>VLOOKUP(G77,[1]!ModTbl,4,0)</f>
        <v>#N/A</v>
      </c>
      <c r="G77" s="25"/>
      <c r="H77" s="128"/>
      <c r="I77" s="128"/>
      <c r="J77" s="58" t="e">
        <f>VLOOKUP(G77,[1]!ModTbl,8,0)</f>
        <v>#N/A</v>
      </c>
      <c r="K77" s="58" t="e">
        <f>VLOOKUP(G77,[1]!ModTbl,9,0)</f>
        <v>#N/A</v>
      </c>
      <c r="L77" s="58" t="e">
        <f>VLOOKUP(G77,[1]!ModTbl,10,0)</f>
        <v>#N/A</v>
      </c>
      <c r="M77" s="58">
        <v>0</v>
      </c>
      <c r="N77" s="126" t="e">
        <f t="shared" si="40"/>
        <v>#N/A</v>
      </c>
      <c r="O77" s="126" t="e">
        <f t="shared" ref="O77:O140" si="42">J77/15</f>
        <v>#N/A</v>
      </c>
      <c r="P77" s="126" t="e">
        <f t="shared" ref="P77:P140" si="43">J77/15</f>
        <v>#N/A</v>
      </c>
      <c r="Q77" s="126" t="e">
        <f t="shared" ref="Q77:Q140" si="44">K77/15</f>
        <v>#N/A</v>
      </c>
      <c r="R77" s="126" t="e">
        <f t="shared" ref="R77:R140" si="45">K77/15</f>
        <v>#N/A</v>
      </c>
      <c r="S77" s="126" t="e">
        <f t="shared" ref="S77:S140" si="46">L77/15</f>
        <v>#N/A</v>
      </c>
      <c r="T77" s="126" t="e">
        <f t="shared" ref="T77:T140" si="47">L77/15</f>
        <v>#N/A</v>
      </c>
      <c r="U77" s="94" t="e">
        <f t="shared" ref="U77:U140" si="48">IF(J77&lt;&gt;0,IF(I77="Y",IF(Y77&lt;&gt;0,1,0),0),0)</f>
        <v>#N/A</v>
      </c>
      <c r="V77" s="94" t="e">
        <f t="shared" ref="V77:V140" si="49">IF(J77&lt;&gt;0,ROUNDUP(AD77/2,0),0)</f>
        <v>#N/A</v>
      </c>
      <c r="W77" s="94" t="e">
        <f t="shared" ref="W77:W140" si="50">IF(K77&lt;&gt;0,AD77,0)</f>
        <v>#N/A</v>
      </c>
      <c r="X77" s="94" t="e">
        <f t="shared" ref="X77:X140" si="51">IF(L77&lt;&gt;0,AD77,0)</f>
        <v>#N/A</v>
      </c>
      <c r="Y77" s="95">
        <f t="shared" ref="Y77:Y140" si="52">AI77</f>
        <v>0</v>
      </c>
      <c r="Z77" s="126" t="e">
        <f t="shared" ref="Z77:Z140" si="53">U77*J77</f>
        <v>#N/A</v>
      </c>
      <c r="AA77" s="126" t="e">
        <f t="shared" ref="AA77:AA140" si="54">V77*J77</f>
        <v>#N/A</v>
      </c>
      <c r="AB77" s="126" t="e">
        <f t="shared" ref="AB77:AB140" si="55">W77*K77</f>
        <v>#N/A</v>
      </c>
      <c r="AC77" s="126" t="e">
        <f t="shared" ref="AC77:AC140" si="56">X77*L77</f>
        <v>#N/A</v>
      </c>
      <c r="AD77" s="126"/>
      <c r="AE77" s="126"/>
      <c r="AF77" s="126"/>
      <c r="AG77" s="126"/>
      <c r="AH77" s="126"/>
      <c r="AI77" s="126">
        <f t="shared" si="41"/>
        <v>0</v>
      </c>
      <c r="AJ77" s="126"/>
      <c r="AK77" s="94" t="e">
        <f t="shared" ref="AK77:AK140" si="57">IF(J77&lt;&gt;0,IF(I77="Y",IF(AO77&lt;&gt;0,1,0),0),0)</f>
        <v>#N/A</v>
      </c>
      <c r="AL77" s="94" t="e">
        <f t="shared" ref="AL77:AL140" si="58">IF(J77&lt;&gt;0,ROUNDUP(AT77/2,0),0)</f>
        <v>#N/A</v>
      </c>
      <c r="AM77" s="94" t="e">
        <f t="shared" ref="AM77:AM140" si="59">IF(K77&lt;&gt;0,AT77,0)</f>
        <v>#N/A</v>
      </c>
      <c r="AN77" s="94" t="e">
        <f t="shared" ref="AN77:AN140" si="60">IF(L77&lt;&gt;0,AT77,0)</f>
        <v>#N/A</v>
      </c>
      <c r="AO77" s="95">
        <f t="shared" ref="AO77:AO140" si="61">AY77</f>
        <v>0</v>
      </c>
      <c r="AP77" s="126" t="e">
        <f t="shared" ref="AP77:AP140" si="62">AK77*AVERAGE(O77:P77)*15</f>
        <v>#N/A</v>
      </c>
      <c r="AQ77" s="126" t="e">
        <f t="shared" ref="AQ77:AQ140" si="63">AL77*AVERAGE(O77:P77)*15</f>
        <v>#N/A</v>
      </c>
      <c r="AR77" s="126" t="e">
        <f t="shared" ref="AR77:AR140" si="64">AM77*AVERAGE(Q77:R77)*15</f>
        <v>#N/A</v>
      </c>
      <c r="AS77" s="126" t="e">
        <f t="shared" ref="AS77:AS140" si="65">AN77*AVERAGE(S77:T77)*15</f>
        <v>#N/A</v>
      </c>
      <c r="AT77" s="126">
        <v>0</v>
      </c>
      <c r="AU77" s="126"/>
      <c r="AV77" s="126"/>
      <c r="AW77" s="126"/>
      <c r="AX77" s="126"/>
      <c r="AY77" s="126">
        <f t="shared" ref="AY77:AY140" si="66">SUM($AU77:$AX77)</f>
        <v>0</v>
      </c>
      <c r="AZ77" s="127"/>
      <c r="BA77" s="127"/>
      <c r="BB77" s="2"/>
      <c r="BC77" s="27" t="e">
        <f t="shared" ref="BC77:BC140" si="67">SUM(Z77:AC77)</f>
        <v>#N/A</v>
      </c>
      <c r="BD77" s="27" t="e">
        <f t="shared" ref="BD77:BD140" si="68">SUM(AP77:AS77)</f>
        <v>#N/A</v>
      </c>
      <c r="BE77" s="27"/>
      <c r="BF77" s="27">
        <f t="shared" ref="BF77:BF140" si="69">IF($BD$3="S1",IF(Y77=0,0,IF(ISNUMBER(SEARCH("Changed",H77)),2,1)),IF(AO77=0,0,IF(ISNUMBER(SEARCH("Changed",H77)),2,1)))</f>
        <v>0</v>
      </c>
      <c r="BG77" s="27"/>
      <c r="BH77" s="27" t="e">
        <f t="shared" ref="BH77:BH140" si="70">Z77+AA77</f>
        <v>#N/A</v>
      </c>
      <c r="BI77" s="27" t="e">
        <f t="shared" ref="BI77:BI140" si="71">AB77</f>
        <v>#N/A</v>
      </c>
      <c r="BJ77" s="27" t="e">
        <f t="shared" ref="BJ77:BJ140" si="72">AC77</f>
        <v>#N/A</v>
      </c>
      <c r="BK77" s="27"/>
      <c r="BL77" s="27"/>
      <c r="BM77" s="27" t="e">
        <f t="shared" ref="BM77:BM140" si="73">AP77+AQ77</f>
        <v>#N/A</v>
      </c>
      <c r="BN77" s="27" t="e">
        <f t="shared" ref="BN77:BN140" si="74">AR77</f>
        <v>#N/A</v>
      </c>
      <c r="BO77" s="27" t="e">
        <f t="shared" ref="BO77:BO140" si="75">AS77</f>
        <v>#N/A</v>
      </c>
      <c r="BP77" s="27"/>
      <c r="BQ77" s="27"/>
    </row>
    <row r="78" spans="1:69" x14ac:dyDescent="0.25">
      <c r="A78" s="128"/>
      <c r="B78" s="166"/>
      <c r="C78" s="144"/>
      <c r="D78" s="138" t="e">
        <f>VLOOKUP(G78,[1]!ModTbl,2,0)</f>
        <v>#N/A</v>
      </c>
      <c r="E78" s="138" t="e">
        <f>VLOOKUP(G78,[1]!ModTbl,3,0)</f>
        <v>#N/A</v>
      </c>
      <c r="F78" s="138" t="e">
        <f>VLOOKUP(G78,[1]!ModTbl,4,0)</f>
        <v>#N/A</v>
      </c>
      <c r="G78" s="145"/>
      <c r="H78" s="128"/>
      <c r="I78" s="128"/>
      <c r="J78" s="58" t="e">
        <f>VLOOKUP(G78,[1]!ModTbl,8,0)</f>
        <v>#N/A</v>
      </c>
      <c r="K78" s="58" t="e">
        <f>VLOOKUP(G78,[1]!ModTbl,9,0)</f>
        <v>#N/A</v>
      </c>
      <c r="L78" s="58" t="e">
        <f>VLOOKUP(G78,[1]!ModTbl,10,0)</f>
        <v>#N/A</v>
      </c>
      <c r="M78" s="58">
        <v>0</v>
      </c>
      <c r="N78" s="126" t="e">
        <f t="shared" si="40"/>
        <v>#N/A</v>
      </c>
      <c r="O78" s="126" t="e">
        <f t="shared" si="42"/>
        <v>#N/A</v>
      </c>
      <c r="P78" s="126" t="e">
        <f t="shared" si="43"/>
        <v>#N/A</v>
      </c>
      <c r="Q78" s="126" t="e">
        <f t="shared" si="44"/>
        <v>#N/A</v>
      </c>
      <c r="R78" s="126" t="e">
        <f t="shared" si="45"/>
        <v>#N/A</v>
      </c>
      <c r="S78" s="126" t="e">
        <f t="shared" si="46"/>
        <v>#N/A</v>
      </c>
      <c r="T78" s="126" t="e">
        <f t="shared" si="47"/>
        <v>#N/A</v>
      </c>
      <c r="U78" s="94" t="e">
        <f t="shared" si="48"/>
        <v>#N/A</v>
      </c>
      <c r="V78" s="94" t="e">
        <f t="shared" si="49"/>
        <v>#N/A</v>
      </c>
      <c r="W78" s="94" t="e">
        <f t="shared" si="50"/>
        <v>#N/A</v>
      </c>
      <c r="X78" s="94" t="e">
        <f t="shared" si="51"/>
        <v>#N/A</v>
      </c>
      <c r="Y78" s="95">
        <f t="shared" si="52"/>
        <v>0</v>
      </c>
      <c r="Z78" s="126" t="e">
        <f t="shared" si="53"/>
        <v>#N/A</v>
      </c>
      <c r="AA78" s="126" t="e">
        <f t="shared" si="54"/>
        <v>#N/A</v>
      </c>
      <c r="AB78" s="126" t="e">
        <f t="shared" si="55"/>
        <v>#N/A</v>
      </c>
      <c r="AC78" s="126" t="e">
        <f t="shared" si="56"/>
        <v>#N/A</v>
      </c>
      <c r="AD78" s="126"/>
      <c r="AE78" s="126"/>
      <c r="AF78" s="126"/>
      <c r="AG78" s="126"/>
      <c r="AH78" s="126"/>
      <c r="AI78" s="126">
        <f t="shared" si="41"/>
        <v>0</v>
      </c>
      <c r="AJ78" s="126"/>
      <c r="AK78" s="94" t="e">
        <f t="shared" si="57"/>
        <v>#N/A</v>
      </c>
      <c r="AL78" s="94" t="e">
        <f t="shared" si="58"/>
        <v>#N/A</v>
      </c>
      <c r="AM78" s="94" t="e">
        <f t="shared" si="59"/>
        <v>#N/A</v>
      </c>
      <c r="AN78" s="94" t="e">
        <f t="shared" si="60"/>
        <v>#N/A</v>
      </c>
      <c r="AO78" s="95">
        <f t="shared" si="61"/>
        <v>0</v>
      </c>
      <c r="AP78" s="126" t="e">
        <f t="shared" si="62"/>
        <v>#N/A</v>
      </c>
      <c r="AQ78" s="126" t="e">
        <f t="shared" si="63"/>
        <v>#N/A</v>
      </c>
      <c r="AR78" s="126" t="e">
        <f t="shared" si="64"/>
        <v>#N/A</v>
      </c>
      <c r="AS78" s="126" t="e">
        <f t="shared" si="65"/>
        <v>#N/A</v>
      </c>
      <c r="AT78" s="126">
        <v>0</v>
      </c>
      <c r="AU78" s="126"/>
      <c r="AV78" s="126"/>
      <c r="AW78" s="126"/>
      <c r="AX78" s="126"/>
      <c r="AY78" s="126">
        <f t="shared" si="66"/>
        <v>0</v>
      </c>
      <c r="AZ78" s="127"/>
      <c r="BA78" s="127"/>
      <c r="BB78" s="2"/>
      <c r="BC78" s="27" t="e">
        <f t="shared" si="67"/>
        <v>#N/A</v>
      </c>
      <c r="BD78" s="27" t="e">
        <f t="shared" si="68"/>
        <v>#N/A</v>
      </c>
      <c r="BE78" s="27"/>
      <c r="BF78" s="27">
        <f t="shared" si="69"/>
        <v>0</v>
      </c>
      <c r="BG78" s="27"/>
      <c r="BH78" s="27" t="e">
        <f t="shared" si="70"/>
        <v>#N/A</v>
      </c>
      <c r="BI78" s="27" t="e">
        <f t="shared" si="71"/>
        <v>#N/A</v>
      </c>
      <c r="BJ78" s="27" t="e">
        <f t="shared" si="72"/>
        <v>#N/A</v>
      </c>
      <c r="BK78" s="27"/>
      <c r="BL78" s="27"/>
      <c r="BM78" s="27" t="e">
        <f t="shared" si="73"/>
        <v>#N/A</v>
      </c>
      <c r="BN78" s="27" t="e">
        <f t="shared" si="74"/>
        <v>#N/A</v>
      </c>
      <c r="BO78" s="27" t="e">
        <f t="shared" si="75"/>
        <v>#N/A</v>
      </c>
      <c r="BP78" s="27"/>
      <c r="BQ78" s="27"/>
    </row>
    <row r="79" spans="1:69" x14ac:dyDescent="0.25">
      <c r="A79" s="128"/>
      <c r="B79" s="166"/>
      <c r="C79" s="144"/>
      <c r="D79" s="138" t="e">
        <f>VLOOKUP(G79,[1]!ModTbl,2,0)</f>
        <v>#N/A</v>
      </c>
      <c r="E79" s="138" t="e">
        <f>VLOOKUP(G79,[1]!ModTbl,3,0)</f>
        <v>#N/A</v>
      </c>
      <c r="F79" s="138" t="e">
        <f>VLOOKUP(G79,[1]!ModTbl,4,0)</f>
        <v>#N/A</v>
      </c>
      <c r="G79" s="145"/>
      <c r="H79" s="128"/>
      <c r="I79" s="128"/>
      <c r="J79" s="58" t="e">
        <f>VLOOKUP(G79,[1]!ModTbl,8,0)</f>
        <v>#N/A</v>
      </c>
      <c r="K79" s="58" t="e">
        <f>VLOOKUP(G79,[1]!ModTbl,9,0)</f>
        <v>#N/A</v>
      </c>
      <c r="L79" s="58" t="e">
        <f>VLOOKUP(G79,[1]!ModTbl,10,0)</f>
        <v>#N/A</v>
      </c>
      <c r="M79" s="58">
        <v>0</v>
      </c>
      <c r="N79" s="126" t="e">
        <f t="shared" si="40"/>
        <v>#N/A</v>
      </c>
      <c r="O79" s="126" t="e">
        <f t="shared" si="42"/>
        <v>#N/A</v>
      </c>
      <c r="P79" s="126" t="e">
        <f t="shared" si="43"/>
        <v>#N/A</v>
      </c>
      <c r="Q79" s="126" t="e">
        <f t="shared" si="44"/>
        <v>#N/A</v>
      </c>
      <c r="R79" s="126" t="e">
        <f t="shared" si="45"/>
        <v>#N/A</v>
      </c>
      <c r="S79" s="126" t="e">
        <f t="shared" si="46"/>
        <v>#N/A</v>
      </c>
      <c r="T79" s="126" t="e">
        <f t="shared" si="47"/>
        <v>#N/A</v>
      </c>
      <c r="U79" s="94" t="e">
        <f t="shared" si="48"/>
        <v>#N/A</v>
      </c>
      <c r="V79" s="94" t="e">
        <f t="shared" si="49"/>
        <v>#N/A</v>
      </c>
      <c r="W79" s="94" t="e">
        <f t="shared" si="50"/>
        <v>#N/A</v>
      </c>
      <c r="X79" s="94" t="e">
        <f t="shared" si="51"/>
        <v>#N/A</v>
      </c>
      <c r="Y79" s="95">
        <f t="shared" si="52"/>
        <v>0</v>
      </c>
      <c r="Z79" s="126" t="e">
        <f t="shared" si="53"/>
        <v>#N/A</v>
      </c>
      <c r="AA79" s="126" t="e">
        <f t="shared" si="54"/>
        <v>#N/A</v>
      </c>
      <c r="AB79" s="126" t="e">
        <f t="shared" si="55"/>
        <v>#N/A</v>
      </c>
      <c r="AC79" s="126" t="e">
        <f t="shared" si="56"/>
        <v>#N/A</v>
      </c>
      <c r="AD79" s="126"/>
      <c r="AE79" s="126"/>
      <c r="AF79" s="126"/>
      <c r="AG79" s="126"/>
      <c r="AH79" s="126"/>
      <c r="AI79" s="126">
        <f t="shared" si="41"/>
        <v>0</v>
      </c>
      <c r="AJ79" s="126"/>
      <c r="AK79" s="94" t="e">
        <f t="shared" si="57"/>
        <v>#N/A</v>
      </c>
      <c r="AL79" s="94" t="e">
        <f t="shared" si="58"/>
        <v>#N/A</v>
      </c>
      <c r="AM79" s="94" t="e">
        <f t="shared" si="59"/>
        <v>#N/A</v>
      </c>
      <c r="AN79" s="94" t="e">
        <f t="shared" si="60"/>
        <v>#N/A</v>
      </c>
      <c r="AO79" s="95">
        <f t="shared" si="61"/>
        <v>0</v>
      </c>
      <c r="AP79" s="126" t="e">
        <f t="shared" si="62"/>
        <v>#N/A</v>
      </c>
      <c r="AQ79" s="126" t="e">
        <f t="shared" si="63"/>
        <v>#N/A</v>
      </c>
      <c r="AR79" s="126" t="e">
        <f t="shared" si="64"/>
        <v>#N/A</v>
      </c>
      <c r="AS79" s="126" t="e">
        <f t="shared" si="65"/>
        <v>#N/A</v>
      </c>
      <c r="AT79" s="126">
        <v>0</v>
      </c>
      <c r="AU79" s="126"/>
      <c r="AV79" s="126"/>
      <c r="AW79" s="126"/>
      <c r="AX79" s="126"/>
      <c r="AY79" s="126">
        <f t="shared" si="66"/>
        <v>0</v>
      </c>
      <c r="AZ79" s="127"/>
      <c r="BA79" s="127"/>
      <c r="BB79" s="2"/>
      <c r="BC79" s="27" t="e">
        <f t="shared" si="67"/>
        <v>#N/A</v>
      </c>
      <c r="BD79" s="27" t="e">
        <f t="shared" si="68"/>
        <v>#N/A</v>
      </c>
      <c r="BE79" s="27"/>
      <c r="BF79" s="27">
        <f t="shared" si="69"/>
        <v>0</v>
      </c>
      <c r="BG79" s="27"/>
      <c r="BH79" s="27" t="e">
        <f t="shared" si="70"/>
        <v>#N/A</v>
      </c>
      <c r="BI79" s="27" t="e">
        <f t="shared" si="71"/>
        <v>#N/A</v>
      </c>
      <c r="BJ79" s="27" t="e">
        <f t="shared" si="72"/>
        <v>#N/A</v>
      </c>
      <c r="BK79" s="27"/>
      <c r="BL79" s="27"/>
      <c r="BM79" s="27" t="e">
        <f t="shared" si="73"/>
        <v>#N/A</v>
      </c>
      <c r="BN79" s="27" t="e">
        <f t="shared" si="74"/>
        <v>#N/A</v>
      </c>
      <c r="BO79" s="27" t="e">
        <f t="shared" si="75"/>
        <v>#N/A</v>
      </c>
      <c r="BP79" s="27"/>
      <c r="BQ79" s="27"/>
    </row>
    <row r="80" spans="1:69" x14ac:dyDescent="0.25">
      <c r="A80" s="128"/>
      <c r="B80" s="166"/>
      <c r="C80" s="144"/>
      <c r="D80" s="138" t="e">
        <f>VLOOKUP(G80,[1]!ModTbl,2,0)</f>
        <v>#N/A</v>
      </c>
      <c r="E80" s="138" t="e">
        <f>VLOOKUP(G80,[1]!ModTbl,3,0)</f>
        <v>#N/A</v>
      </c>
      <c r="F80" s="138" t="e">
        <f>VLOOKUP(G80,[1]!ModTbl,4,0)</f>
        <v>#N/A</v>
      </c>
      <c r="G80" s="145"/>
      <c r="H80" s="128"/>
      <c r="I80" s="128"/>
      <c r="J80" s="58" t="e">
        <f>VLOOKUP(G80,[1]!ModTbl,8,0)</f>
        <v>#N/A</v>
      </c>
      <c r="K80" s="58" t="e">
        <f>VLOOKUP(G80,[1]!ModTbl,9,0)</f>
        <v>#N/A</v>
      </c>
      <c r="L80" s="58" t="e">
        <f>VLOOKUP(G80,[1]!ModTbl,10,0)</f>
        <v>#N/A</v>
      </c>
      <c r="M80" s="58">
        <v>0</v>
      </c>
      <c r="N80" s="126" t="e">
        <f t="shared" si="40"/>
        <v>#N/A</v>
      </c>
      <c r="O80" s="126" t="e">
        <f t="shared" si="42"/>
        <v>#N/A</v>
      </c>
      <c r="P80" s="126" t="e">
        <f t="shared" si="43"/>
        <v>#N/A</v>
      </c>
      <c r="Q80" s="126" t="e">
        <f t="shared" si="44"/>
        <v>#N/A</v>
      </c>
      <c r="R80" s="126" t="e">
        <f t="shared" si="45"/>
        <v>#N/A</v>
      </c>
      <c r="S80" s="126" t="e">
        <f t="shared" si="46"/>
        <v>#N/A</v>
      </c>
      <c r="T80" s="126" t="e">
        <f t="shared" si="47"/>
        <v>#N/A</v>
      </c>
      <c r="U80" s="94" t="e">
        <f t="shared" si="48"/>
        <v>#N/A</v>
      </c>
      <c r="V80" s="94" t="e">
        <f t="shared" si="49"/>
        <v>#N/A</v>
      </c>
      <c r="W80" s="94" t="e">
        <f t="shared" si="50"/>
        <v>#N/A</v>
      </c>
      <c r="X80" s="94" t="e">
        <f t="shared" si="51"/>
        <v>#N/A</v>
      </c>
      <c r="Y80" s="95">
        <f t="shared" si="52"/>
        <v>0</v>
      </c>
      <c r="Z80" s="126" t="e">
        <f t="shared" si="53"/>
        <v>#N/A</v>
      </c>
      <c r="AA80" s="126" t="e">
        <f t="shared" si="54"/>
        <v>#N/A</v>
      </c>
      <c r="AB80" s="126" t="e">
        <f t="shared" si="55"/>
        <v>#N/A</v>
      </c>
      <c r="AC80" s="126" t="e">
        <f t="shared" si="56"/>
        <v>#N/A</v>
      </c>
      <c r="AD80" s="126"/>
      <c r="AE80" s="126"/>
      <c r="AF80" s="126"/>
      <c r="AG80" s="126"/>
      <c r="AH80" s="126"/>
      <c r="AI80" s="126">
        <f t="shared" si="41"/>
        <v>0</v>
      </c>
      <c r="AJ80" s="126"/>
      <c r="AK80" s="94" t="e">
        <f t="shared" si="57"/>
        <v>#N/A</v>
      </c>
      <c r="AL80" s="94" t="e">
        <f t="shared" si="58"/>
        <v>#N/A</v>
      </c>
      <c r="AM80" s="94" t="e">
        <f t="shared" si="59"/>
        <v>#N/A</v>
      </c>
      <c r="AN80" s="94" t="e">
        <f t="shared" si="60"/>
        <v>#N/A</v>
      </c>
      <c r="AO80" s="95">
        <f t="shared" si="61"/>
        <v>0</v>
      </c>
      <c r="AP80" s="126" t="e">
        <f t="shared" si="62"/>
        <v>#N/A</v>
      </c>
      <c r="AQ80" s="126" t="e">
        <f t="shared" si="63"/>
        <v>#N/A</v>
      </c>
      <c r="AR80" s="126" t="e">
        <f t="shared" si="64"/>
        <v>#N/A</v>
      </c>
      <c r="AS80" s="126" t="e">
        <f t="shared" si="65"/>
        <v>#N/A</v>
      </c>
      <c r="AT80" s="126">
        <v>0</v>
      </c>
      <c r="AU80" s="126"/>
      <c r="AV80" s="126"/>
      <c r="AW80" s="126"/>
      <c r="AX80" s="126"/>
      <c r="AY80" s="126">
        <f t="shared" si="66"/>
        <v>0</v>
      </c>
      <c r="AZ80" s="127"/>
      <c r="BA80" s="127"/>
      <c r="BB80" s="2"/>
      <c r="BC80" s="27" t="e">
        <f t="shared" si="67"/>
        <v>#N/A</v>
      </c>
      <c r="BD80" s="27" t="e">
        <f t="shared" si="68"/>
        <v>#N/A</v>
      </c>
      <c r="BE80" s="27"/>
      <c r="BF80" s="27">
        <f t="shared" si="69"/>
        <v>0</v>
      </c>
      <c r="BG80" s="27"/>
      <c r="BH80" s="27" t="e">
        <f t="shared" si="70"/>
        <v>#N/A</v>
      </c>
      <c r="BI80" s="27" t="e">
        <f t="shared" si="71"/>
        <v>#N/A</v>
      </c>
      <c r="BJ80" s="27" t="e">
        <f t="shared" si="72"/>
        <v>#N/A</v>
      </c>
      <c r="BK80" s="27"/>
      <c r="BL80" s="27"/>
      <c r="BM80" s="27" t="e">
        <f t="shared" si="73"/>
        <v>#N/A</v>
      </c>
      <c r="BN80" s="27" t="e">
        <f t="shared" si="74"/>
        <v>#N/A</v>
      </c>
      <c r="BO80" s="27" t="e">
        <f t="shared" si="75"/>
        <v>#N/A</v>
      </c>
      <c r="BP80" s="27"/>
      <c r="BQ80" s="27"/>
    </row>
    <row r="81" spans="1:69" x14ac:dyDescent="0.25">
      <c r="A81" s="128"/>
      <c r="B81" s="166"/>
      <c r="C81" s="144"/>
      <c r="D81" s="138" t="e">
        <f>VLOOKUP(G81,[1]!ModTbl,2,0)</f>
        <v>#N/A</v>
      </c>
      <c r="E81" s="138" t="e">
        <f>VLOOKUP(G81,[1]!ModTbl,3,0)</f>
        <v>#N/A</v>
      </c>
      <c r="F81" s="138" t="e">
        <f>VLOOKUP(G81,[1]!ModTbl,4,0)</f>
        <v>#N/A</v>
      </c>
      <c r="G81" s="145"/>
      <c r="H81" s="128"/>
      <c r="I81" s="128"/>
      <c r="J81" s="58" t="e">
        <f>VLOOKUP(G81,[1]!ModTbl,8,0)</f>
        <v>#N/A</v>
      </c>
      <c r="K81" s="58" t="e">
        <f>VLOOKUP(G81,[1]!ModTbl,9,0)</f>
        <v>#N/A</v>
      </c>
      <c r="L81" s="58" t="e">
        <f>VLOOKUP(G81,[1]!ModTbl,10,0)</f>
        <v>#N/A</v>
      </c>
      <c r="M81" s="58">
        <v>0</v>
      </c>
      <c r="N81" s="126" t="e">
        <f t="shared" si="40"/>
        <v>#N/A</v>
      </c>
      <c r="O81" s="126" t="e">
        <f t="shared" si="42"/>
        <v>#N/A</v>
      </c>
      <c r="P81" s="126" t="e">
        <f t="shared" si="43"/>
        <v>#N/A</v>
      </c>
      <c r="Q81" s="126" t="e">
        <f t="shared" si="44"/>
        <v>#N/A</v>
      </c>
      <c r="R81" s="126" t="e">
        <f t="shared" si="45"/>
        <v>#N/A</v>
      </c>
      <c r="S81" s="126" t="e">
        <f t="shared" si="46"/>
        <v>#N/A</v>
      </c>
      <c r="T81" s="126" t="e">
        <f t="shared" si="47"/>
        <v>#N/A</v>
      </c>
      <c r="U81" s="94" t="e">
        <f t="shared" si="48"/>
        <v>#N/A</v>
      </c>
      <c r="V81" s="94" t="e">
        <f t="shared" si="49"/>
        <v>#N/A</v>
      </c>
      <c r="W81" s="94" t="e">
        <f t="shared" si="50"/>
        <v>#N/A</v>
      </c>
      <c r="X81" s="94" t="e">
        <f t="shared" si="51"/>
        <v>#N/A</v>
      </c>
      <c r="Y81" s="95">
        <f t="shared" si="52"/>
        <v>0</v>
      </c>
      <c r="Z81" s="126" t="e">
        <f t="shared" si="53"/>
        <v>#N/A</v>
      </c>
      <c r="AA81" s="126" t="e">
        <f t="shared" si="54"/>
        <v>#N/A</v>
      </c>
      <c r="AB81" s="126" t="e">
        <f t="shared" si="55"/>
        <v>#N/A</v>
      </c>
      <c r="AC81" s="126" t="e">
        <f t="shared" si="56"/>
        <v>#N/A</v>
      </c>
      <c r="AD81" s="126"/>
      <c r="AE81" s="126"/>
      <c r="AF81" s="126"/>
      <c r="AG81" s="126"/>
      <c r="AH81" s="126"/>
      <c r="AI81" s="126">
        <f t="shared" si="41"/>
        <v>0</v>
      </c>
      <c r="AJ81" s="126"/>
      <c r="AK81" s="94" t="e">
        <f t="shared" si="57"/>
        <v>#N/A</v>
      </c>
      <c r="AL81" s="94" t="e">
        <f t="shared" si="58"/>
        <v>#N/A</v>
      </c>
      <c r="AM81" s="94" t="e">
        <f t="shared" si="59"/>
        <v>#N/A</v>
      </c>
      <c r="AN81" s="94" t="e">
        <f t="shared" si="60"/>
        <v>#N/A</v>
      </c>
      <c r="AO81" s="95">
        <f t="shared" si="61"/>
        <v>0</v>
      </c>
      <c r="AP81" s="126" t="e">
        <f t="shared" si="62"/>
        <v>#N/A</v>
      </c>
      <c r="AQ81" s="126" t="e">
        <f t="shared" si="63"/>
        <v>#N/A</v>
      </c>
      <c r="AR81" s="126" t="e">
        <f t="shared" si="64"/>
        <v>#N/A</v>
      </c>
      <c r="AS81" s="126" t="e">
        <f t="shared" si="65"/>
        <v>#N/A</v>
      </c>
      <c r="AT81" s="126">
        <v>0</v>
      </c>
      <c r="AU81" s="126"/>
      <c r="AV81" s="126"/>
      <c r="AW81" s="126"/>
      <c r="AX81" s="126"/>
      <c r="AY81" s="126">
        <f t="shared" si="66"/>
        <v>0</v>
      </c>
      <c r="AZ81" s="127"/>
      <c r="BA81" s="127"/>
      <c r="BB81" s="2"/>
      <c r="BC81" s="27" t="e">
        <f t="shared" si="67"/>
        <v>#N/A</v>
      </c>
      <c r="BD81" s="27" t="e">
        <f t="shared" si="68"/>
        <v>#N/A</v>
      </c>
      <c r="BE81" s="27"/>
      <c r="BF81" s="27">
        <f t="shared" si="69"/>
        <v>0</v>
      </c>
      <c r="BG81" s="27"/>
      <c r="BH81" s="27" t="e">
        <f t="shared" si="70"/>
        <v>#N/A</v>
      </c>
      <c r="BI81" s="27" t="e">
        <f t="shared" si="71"/>
        <v>#N/A</v>
      </c>
      <c r="BJ81" s="27" t="e">
        <f t="shared" si="72"/>
        <v>#N/A</v>
      </c>
      <c r="BK81" s="27"/>
      <c r="BL81" s="27"/>
      <c r="BM81" s="27" t="e">
        <f t="shared" si="73"/>
        <v>#N/A</v>
      </c>
      <c r="BN81" s="27" t="e">
        <f t="shared" si="74"/>
        <v>#N/A</v>
      </c>
      <c r="BO81" s="27" t="e">
        <f t="shared" si="75"/>
        <v>#N/A</v>
      </c>
      <c r="BP81" s="27"/>
      <c r="BQ81" s="27"/>
    </row>
    <row r="82" spans="1:69" x14ac:dyDescent="0.25">
      <c r="A82" s="128"/>
      <c r="B82" s="166"/>
      <c r="C82" s="144"/>
      <c r="D82" s="138" t="e">
        <f>VLOOKUP(G82,[1]!ModTbl,2,0)</f>
        <v>#N/A</v>
      </c>
      <c r="E82" s="138" t="e">
        <f>VLOOKUP(G82,[1]!ModTbl,3,0)</f>
        <v>#N/A</v>
      </c>
      <c r="F82" s="138" t="e">
        <f>VLOOKUP(G82,[1]!ModTbl,4,0)</f>
        <v>#N/A</v>
      </c>
      <c r="G82" s="145"/>
      <c r="H82" s="128"/>
      <c r="I82" s="128"/>
      <c r="J82" s="58" t="e">
        <f>VLOOKUP(G82,[1]!ModTbl,8,0)</f>
        <v>#N/A</v>
      </c>
      <c r="K82" s="58" t="e">
        <f>VLOOKUP(G82,[1]!ModTbl,9,0)</f>
        <v>#N/A</v>
      </c>
      <c r="L82" s="58" t="e">
        <f>VLOOKUP(G82,[1]!ModTbl,10,0)</f>
        <v>#N/A</v>
      </c>
      <c r="M82" s="58">
        <v>0</v>
      </c>
      <c r="N82" s="126" t="e">
        <f t="shared" si="40"/>
        <v>#N/A</v>
      </c>
      <c r="O82" s="126" t="e">
        <f t="shared" si="42"/>
        <v>#N/A</v>
      </c>
      <c r="P82" s="126" t="e">
        <f t="shared" si="43"/>
        <v>#N/A</v>
      </c>
      <c r="Q82" s="126" t="e">
        <f t="shared" si="44"/>
        <v>#N/A</v>
      </c>
      <c r="R82" s="126" t="e">
        <f t="shared" si="45"/>
        <v>#N/A</v>
      </c>
      <c r="S82" s="126" t="e">
        <f t="shared" si="46"/>
        <v>#N/A</v>
      </c>
      <c r="T82" s="126" t="e">
        <f t="shared" si="47"/>
        <v>#N/A</v>
      </c>
      <c r="U82" s="94" t="e">
        <f t="shared" si="48"/>
        <v>#N/A</v>
      </c>
      <c r="V82" s="94" t="e">
        <f t="shared" si="49"/>
        <v>#N/A</v>
      </c>
      <c r="W82" s="94" t="e">
        <f t="shared" si="50"/>
        <v>#N/A</v>
      </c>
      <c r="X82" s="94" t="e">
        <f t="shared" si="51"/>
        <v>#N/A</v>
      </c>
      <c r="Y82" s="95">
        <f t="shared" si="52"/>
        <v>0</v>
      </c>
      <c r="Z82" s="126" t="e">
        <f t="shared" si="53"/>
        <v>#N/A</v>
      </c>
      <c r="AA82" s="126" t="e">
        <f t="shared" si="54"/>
        <v>#N/A</v>
      </c>
      <c r="AB82" s="126" t="e">
        <f t="shared" si="55"/>
        <v>#N/A</v>
      </c>
      <c r="AC82" s="126" t="e">
        <f t="shared" si="56"/>
        <v>#N/A</v>
      </c>
      <c r="AD82" s="126"/>
      <c r="AE82" s="126"/>
      <c r="AF82" s="126"/>
      <c r="AG82" s="126"/>
      <c r="AH82" s="126"/>
      <c r="AI82" s="126">
        <f t="shared" si="41"/>
        <v>0</v>
      </c>
      <c r="AJ82" s="126"/>
      <c r="AK82" s="94" t="e">
        <f t="shared" si="57"/>
        <v>#N/A</v>
      </c>
      <c r="AL82" s="94" t="e">
        <f t="shared" si="58"/>
        <v>#N/A</v>
      </c>
      <c r="AM82" s="94" t="e">
        <f t="shared" si="59"/>
        <v>#N/A</v>
      </c>
      <c r="AN82" s="94" t="e">
        <f t="shared" si="60"/>
        <v>#N/A</v>
      </c>
      <c r="AO82" s="95">
        <f t="shared" si="61"/>
        <v>0</v>
      </c>
      <c r="AP82" s="126" t="e">
        <f t="shared" si="62"/>
        <v>#N/A</v>
      </c>
      <c r="AQ82" s="126" t="e">
        <f t="shared" si="63"/>
        <v>#N/A</v>
      </c>
      <c r="AR82" s="126" t="e">
        <f t="shared" si="64"/>
        <v>#N/A</v>
      </c>
      <c r="AS82" s="126" t="e">
        <f t="shared" si="65"/>
        <v>#N/A</v>
      </c>
      <c r="AT82" s="126">
        <v>0</v>
      </c>
      <c r="AU82" s="126"/>
      <c r="AV82" s="126"/>
      <c r="AW82" s="126"/>
      <c r="AX82" s="126"/>
      <c r="AY82" s="126">
        <f t="shared" si="66"/>
        <v>0</v>
      </c>
      <c r="AZ82" s="127"/>
      <c r="BA82" s="127"/>
      <c r="BB82" s="2"/>
      <c r="BC82" s="27" t="e">
        <f t="shared" si="67"/>
        <v>#N/A</v>
      </c>
      <c r="BD82" s="27" t="e">
        <f t="shared" si="68"/>
        <v>#N/A</v>
      </c>
      <c r="BE82" s="27"/>
      <c r="BF82" s="27">
        <f t="shared" si="69"/>
        <v>0</v>
      </c>
      <c r="BG82" s="27"/>
      <c r="BH82" s="27" t="e">
        <f t="shared" si="70"/>
        <v>#N/A</v>
      </c>
      <c r="BI82" s="27" t="e">
        <f t="shared" si="71"/>
        <v>#N/A</v>
      </c>
      <c r="BJ82" s="27" t="e">
        <f t="shared" si="72"/>
        <v>#N/A</v>
      </c>
      <c r="BK82" s="27"/>
      <c r="BL82" s="27"/>
      <c r="BM82" s="27" t="e">
        <f t="shared" si="73"/>
        <v>#N/A</v>
      </c>
      <c r="BN82" s="27" t="e">
        <f t="shared" si="74"/>
        <v>#N/A</v>
      </c>
      <c r="BO82" s="27" t="e">
        <f t="shared" si="75"/>
        <v>#N/A</v>
      </c>
      <c r="BP82" s="27"/>
      <c r="BQ82" s="27"/>
    </row>
    <row r="83" spans="1:69" x14ac:dyDescent="0.25">
      <c r="A83" s="128"/>
      <c r="B83" s="166"/>
      <c r="C83" s="126"/>
      <c r="D83" s="57" t="e">
        <f>VLOOKUP(G83,[1]!ModTbl,2,0)</f>
        <v>#N/A</v>
      </c>
      <c r="E83" s="57" t="e">
        <f>VLOOKUP(G83,[1]!ModTbl,3,0)</f>
        <v>#N/A</v>
      </c>
      <c r="F83" s="57" t="e">
        <f>VLOOKUP(G83,[1]!ModTbl,4,0)</f>
        <v>#N/A</v>
      </c>
      <c r="G83" s="25"/>
      <c r="H83" s="128"/>
      <c r="I83" s="128"/>
      <c r="J83" s="58" t="e">
        <f>VLOOKUP(G83,[1]!ModTbl,8,0)</f>
        <v>#N/A</v>
      </c>
      <c r="K83" s="58" t="e">
        <f>VLOOKUP(G83,[1]!ModTbl,9,0)</f>
        <v>#N/A</v>
      </c>
      <c r="L83" s="58" t="e">
        <f>VLOOKUP(G83,[1]!ModTbl,10,0)</f>
        <v>#N/A</v>
      </c>
      <c r="M83" s="58">
        <v>0</v>
      </c>
      <c r="N83" s="126" t="e">
        <f t="shared" si="40"/>
        <v>#N/A</v>
      </c>
      <c r="O83" s="126" t="e">
        <f t="shared" si="42"/>
        <v>#N/A</v>
      </c>
      <c r="P83" s="126" t="e">
        <f t="shared" si="43"/>
        <v>#N/A</v>
      </c>
      <c r="Q83" s="126" t="e">
        <f t="shared" si="44"/>
        <v>#N/A</v>
      </c>
      <c r="R83" s="126" t="e">
        <f t="shared" si="45"/>
        <v>#N/A</v>
      </c>
      <c r="S83" s="126" t="e">
        <f t="shared" si="46"/>
        <v>#N/A</v>
      </c>
      <c r="T83" s="126" t="e">
        <f t="shared" si="47"/>
        <v>#N/A</v>
      </c>
      <c r="U83" s="94" t="e">
        <f t="shared" si="48"/>
        <v>#N/A</v>
      </c>
      <c r="V83" s="94" t="e">
        <f t="shared" si="49"/>
        <v>#N/A</v>
      </c>
      <c r="W83" s="94" t="e">
        <f t="shared" si="50"/>
        <v>#N/A</v>
      </c>
      <c r="X83" s="94" t="e">
        <f t="shared" si="51"/>
        <v>#N/A</v>
      </c>
      <c r="Y83" s="95">
        <f t="shared" si="52"/>
        <v>0</v>
      </c>
      <c r="Z83" s="126" t="e">
        <f t="shared" si="53"/>
        <v>#N/A</v>
      </c>
      <c r="AA83" s="126" t="e">
        <f t="shared" si="54"/>
        <v>#N/A</v>
      </c>
      <c r="AB83" s="126" t="e">
        <f t="shared" si="55"/>
        <v>#N/A</v>
      </c>
      <c r="AC83" s="126" t="e">
        <f t="shared" si="56"/>
        <v>#N/A</v>
      </c>
      <c r="AD83" s="126"/>
      <c r="AE83" s="126"/>
      <c r="AF83" s="126"/>
      <c r="AG83" s="126"/>
      <c r="AH83" s="126"/>
      <c r="AI83" s="126">
        <f t="shared" si="41"/>
        <v>0</v>
      </c>
      <c r="AJ83" s="126"/>
      <c r="AK83" s="94" t="e">
        <f t="shared" si="57"/>
        <v>#N/A</v>
      </c>
      <c r="AL83" s="94" t="e">
        <f t="shared" si="58"/>
        <v>#N/A</v>
      </c>
      <c r="AM83" s="94" t="e">
        <f t="shared" si="59"/>
        <v>#N/A</v>
      </c>
      <c r="AN83" s="94" t="e">
        <f t="shared" si="60"/>
        <v>#N/A</v>
      </c>
      <c r="AO83" s="95">
        <f t="shared" si="61"/>
        <v>0</v>
      </c>
      <c r="AP83" s="126" t="e">
        <f t="shared" si="62"/>
        <v>#N/A</v>
      </c>
      <c r="AQ83" s="126" t="e">
        <f t="shared" si="63"/>
        <v>#N/A</v>
      </c>
      <c r="AR83" s="126" t="e">
        <f t="shared" si="64"/>
        <v>#N/A</v>
      </c>
      <c r="AS83" s="126" t="e">
        <f t="shared" si="65"/>
        <v>#N/A</v>
      </c>
      <c r="AT83" s="126">
        <v>0</v>
      </c>
      <c r="AU83" s="126"/>
      <c r="AV83" s="126"/>
      <c r="AW83" s="126"/>
      <c r="AX83" s="126"/>
      <c r="AY83" s="126">
        <f t="shared" si="66"/>
        <v>0</v>
      </c>
      <c r="AZ83" s="127"/>
      <c r="BA83" s="127"/>
      <c r="BB83" s="2"/>
      <c r="BC83" s="27" t="e">
        <f t="shared" si="67"/>
        <v>#N/A</v>
      </c>
      <c r="BD83" s="27" t="e">
        <f t="shared" si="68"/>
        <v>#N/A</v>
      </c>
      <c r="BE83" s="27"/>
      <c r="BF83" s="27">
        <f t="shared" si="69"/>
        <v>0</v>
      </c>
      <c r="BG83" s="27"/>
      <c r="BH83" s="27" t="e">
        <f t="shared" si="70"/>
        <v>#N/A</v>
      </c>
      <c r="BI83" s="27" t="e">
        <f t="shared" si="71"/>
        <v>#N/A</v>
      </c>
      <c r="BJ83" s="27" t="e">
        <f t="shared" si="72"/>
        <v>#N/A</v>
      </c>
      <c r="BK83" s="27"/>
      <c r="BL83" s="27"/>
      <c r="BM83" s="27" t="e">
        <f t="shared" si="73"/>
        <v>#N/A</v>
      </c>
      <c r="BN83" s="27" t="e">
        <f t="shared" si="74"/>
        <v>#N/A</v>
      </c>
      <c r="BO83" s="27" t="e">
        <f t="shared" si="75"/>
        <v>#N/A</v>
      </c>
      <c r="BP83" s="27"/>
      <c r="BQ83" s="27"/>
    </row>
    <row r="84" spans="1:69" x14ac:dyDescent="0.25">
      <c r="A84" s="128"/>
      <c r="B84" s="166"/>
      <c r="C84" s="126"/>
      <c r="D84" s="57" t="e">
        <f>VLOOKUP(G84,[1]!ModTbl,2,0)</f>
        <v>#N/A</v>
      </c>
      <c r="E84" s="57" t="e">
        <f>VLOOKUP(G84,[1]!ModTbl,3,0)</f>
        <v>#N/A</v>
      </c>
      <c r="F84" s="57" t="e">
        <f>VLOOKUP(G84,[1]!ModTbl,4,0)</f>
        <v>#N/A</v>
      </c>
      <c r="G84" s="25"/>
      <c r="H84" s="128"/>
      <c r="I84" s="128"/>
      <c r="J84" s="58" t="e">
        <f>VLOOKUP(G84,[1]!ModTbl,8,0)</f>
        <v>#N/A</v>
      </c>
      <c r="K84" s="58" t="e">
        <f>VLOOKUP(G84,[1]!ModTbl,9,0)</f>
        <v>#N/A</v>
      </c>
      <c r="L84" s="58" t="e">
        <f>VLOOKUP(G84,[1]!ModTbl,10,0)</f>
        <v>#N/A</v>
      </c>
      <c r="M84" s="58">
        <v>0</v>
      </c>
      <c r="N84" s="126" t="e">
        <f t="shared" si="40"/>
        <v>#N/A</v>
      </c>
      <c r="O84" s="126" t="e">
        <f t="shared" si="42"/>
        <v>#N/A</v>
      </c>
      <c r="P84" s="126" t="e">
        <f t="shared" si="43"/>
        <v>#N/A</v>
      </c>
      <c r="Q84" s="126" t="e">
        <f t="shared" si="44"/>
        <v>#N/A</v>
      </c>
      <c r="R84" s="126" t="e">
        <f t="shared" si="45"/>
        <v>#N/A</v>
      </c>
      <c r="S84" s="126" t="e">
        <f t="shared" si="46"/>
        <v>#N/A</v>
      </c>
      <c r="T84" s="126" t="e">
        <f t="shared" si="47"/>
        <v>#N/A</v>
      </c>
      <c r="U84" s="94" t="e">
        <f t="shared" si="48"/>
        <v>#N/A</v>
      </c>
      <c r="V84" s="94" t="e">
        <f t="shared" si="49"/>
        <v>#N/A</v>
      </c>
      <c r="W84" s="94" t="e">
        <f t="shared" si="50"/>
        <v>#N/A</v>
      </c>
      <c r="X84" s="94" t="e">
        <f t="shared" si="51"/>
        <v>#N/A</v>
      </c>
      <c r="Y84" s="95">
        <f t="shared" si="52"/>
        <v>0</v>
      </c>
      <c r="Z84" s="126" t="e">
        <f t="shared" si="53"/>
        <v>#N/A</v>
      </c>
      <c r="AA84" s="126" t="e">
        <f t="shared" si="54"/>
        <v>#N/A</v>
      </c>
      <c r="AB84" s="126" t="e">
        <f t="shared" si="55"/>
        <v>#N/A</v>
      </c>
      <c r="AC84" s="126" t="e">
        <f t="shared" si="56"/>
        <v>#N/A</v>
      </c>
      <c r="AD84" s="126"/>
      <c r="AE84" s="126"/>
      <c r="AF84" s="126"/>
      <c r="AG84" s="126"/>
      <c r="AH84" s="126"/>
      <c r="AI84" s="126">
        <f t="shared" si="41"/>
        <v>0</v>
      </c>
      <c r="AJ84" s="126"/>
      <c r="AK84" s="94" t="e">
        <f t="shared" si="57"/>
        <v>#N/A</v>
      </c>
      <c r="AL84" s="94" t="e">
        <f t="shared" si="58"/>
        <v>#N/A</v>
      </c>
      <c r="AM84" s="94" t="e">
        <f t="shared" si="59"/>
        <v>#N/A</v>
      </c>
      <c r="AN84" s="94" t="e">
        <f t="shared" si="60"/>
        <v>#N/A</v>
      </c>
      <c r="AO84" s="95">
        <f t="shared" si="61"/>
        <v>0</v>
      </c>
      <c r="AP84" s="126" t="e">
        <f t="shared" si="62"/>
        <v>#N/A</v>
      </c>
      <c r="AQ84" s="126" t="e">
        <f t="shared" si="63"/>
        <v>#N/A</v>
      </c>
      <c r="AR84" s="126" t="e">
        <f t="shared" si="64"/>
        <v>#N/A</v>
      </c>
      <c r="AS84" s="126" t="e">
        <f t="shared" si="65"/>
        <v>#N/A</v>
      </c>
      <c r="AT84" s="126">
        <v>0</v>
      </c>
      <c r="AU84" s="126"/>
      <c r="AV84" s="126"/>
      <c r="AW84" s="126"/>
      <c r="AX84" s="126"/>
      <c r="AY84" s="126">
        <f t="shared" si="66"/>
        <v>0</v>
      </c>
      <c r="AZ84" s="127"/>
      <c r="BA84" s="127"/>
      <c r="BB84" s="2"/>
      <c r="BC84" s="27" t="e">
        <f t="shared" si="67"/>
        <v>#N/A</v>
      </c>
      <c r="BD84" s="27" t="e">
        <f t="shared" si="68"/>
        <v>#N/A</v>
      </c>
      <c r="BE84" s="27"/>
      <c r="BF84" s="27">
        <f t="shared" si="69"/>
        <v>0</v>
      </c>
      <c r="BG84" s="27"/>
      <c r="BH84" s="27" t="e">
        <f t="shared" si="70"/>
        <v>#N/A</v>
      </c>
      <c r="BI84" s="27" t="e">
        <f t="shared" si="71"/>
        <v>#N/A</v>
      </c>
      <c r="BJ84" s="27" t="e">
        <f t="shared" si="72"/>
        <v>#N/A</v>
      </c>
      <c r="BK84" s="27"/>
      <c r="BL84" s="27"/>
      <c r="BM84" s="27" t="e">
        <f t="shared" si="73"/>
        <v>#N/A</v>
      </c>
      <c r="BN84" s="27" t="e">
        <f t="shared" si="74"/>
        <v>#N/A</v>
      </c>
      <c r="BO84" s="27" t="e">
        <f t="shared" si="75"/>
        <v>#N/A</v>
      </c>
      <c r="BP84" s="27"/>
      <c r="BQ84" s="27"/>
    </row>
    <row r="85" spans="1:69" x14ac:dyDescent="0.25">
      <c r="A85" s="128"/>
      <c r="B85" s="166"/>
      <c r="C85" s="144"/>
      <c r="D85" s="138" t="e">
        <f>VLOOKUP(G85,[1]!ModTbl,2,0)</f>
        <v>#N/A</v>
      </c>
      <c r="E85" s="138" t="e">
        <f>VLOOKUP(G85,[1]!ModTbl,3,0)</f>
        <v>#N/A</v>
      </c>
      <c r="F85" s="138" t="e">
        <f>VLOOKUP(G85,[1]!ModTbl,4,0)</f>
        <v>#N/A</v>
      </c>
      <c r="G85" s="145"/>
      <c r="H85" s="128"/>
      <c r="I85" s="128"/>
      <c r="J85" s="58" t="e">
        <f>VLOOKUP(G85,[1]!ModTbl,8,0)</f>
        <v>#N/A</v>
      </c>
      <c r="K85" s="58" t="e">
        <f>VLOOKUP(G85,[1]!ModTbl,9,0)</f>
        <v>#N/A</v>
      </c>
      <c r="L85" s="58" t="e">
        <f>VLOOKUP(G85,[1]!ModTbl,10,0)</f>
        <v>#N/A</v>
      </c>
      <c r="M85" s="58">
        <v>0</v>
      </c>
      <c r="N85" s="126" t="e">
        <f t="shared" si="40"/>
        <v>#N/A</v>
      </c>
      <c r="O85" s="126" t="e">
        <f t="shared" si="42"/>
        <v>#N/A</v>
      </c>
      <c r="P85" s="126" t="e">
        <f t="shared" si="43"/>
        <v>#N/A</v>
      </c>
      <c r="Q85" s="126" t="e">
        <f t="shared" si="44"/>
        <v>#N/A</v>
      </c>
      <c r="R85" s="126" t="e">
        <f t="shared" si="45"/>
        <v>#N/A</v>
      </c>
      <c r="S85" s="126" t="e">
        <f t="shared" si="46"/>
        <v>#N/A</v>
      </c>
      <c r="T85" s="126" t="e">
        <f t="shared" si="47"/>
        <v>#N/A</v>
      </c>
      <c r="U85" s="94" t="e">
        <f t="shared" si="48"/>
        <v>#N/A</v>
      </c>
      <c r="V85" s="94" t="e">
        <f t="shared" si="49"/>
        <v>#N/A</v>
      </c>
      <c r="W85" s="94" t="e">
        <f t="shared" si="50"/>
        <v>#N/A</v>
      </c>
      <c r="X85" s="94" t="e">
        <f t="shared" si="51"/>
        <v>#N/A</v>
      </c>
      <c r="Y85" s="95">
        <f t="shared" si="52"/>
        <v>0</v>
      </c>
      <c r="Z85" s="126" t="e">
        <f t="shared" si="53"/>
        <v>#N/A</v>
      </c>
      <c r="AA85" s="126" t="e">
        <f t="shared" si="54"/>
        <v>#N/A</v>
      </c>
      <c r="AB85" s="126" t="e">
        <f t="shared" si="55"/>
        <v>#N/A</v>
      </c>
      <c r="AC85" s="126" t="e">
        <f t="shared" si="56"/>
        <v>#N/A</v>
      </c>
      <c r="AD85" s="126"/>
      <c r="AE85" s="126"/>
      <c r="AF85" s="126"/>
      <c r="AG85" s="126"/>
      <c r="AH85" s="126"/>
      <c r="AI85" s="126">
        <f t="shared" si="41"/>
        <v>0</v>
      </c>
      <c r="AJ85" s="126"/>
      <c r="AK85" s="94" t="e">
        <f t="shared" si="57"/>
        <v>#N/A</v>
      </c>
      <c r="AL85" s="94" t="e">
        <f t="shared" si="58"/>
        <v>#N/A</v>
      </c>
      <c r="AM85" s="94" t="e">
        <f t="shared" si="59"/>
        <v>#N/A</v>
      </c>
      <c r="AN85" s="94" t="e">
        <f t="shared" si="60"/>
        <v>#N/A</v>
      </c>
      <c r="AO85" s="95">
        <f t="shared" si="61"/>
        <v>0</v>
      </c>
      <c r="AP85" s="126" t="e">
        <f t="shared" si="62"/>
        <v>#N/A</v>
      </c>
      <c r="AQ85" s="126" t="e">
        <f t="shared" si="63"/>
        <v>#N/A</v>
      </c>
      <c r="AR85" s="126" t="e">
        <f t="shared" si="64"/>
        <v>#N/A</v>
      </c>
      <c r="AS85" s="126" t="e">
        <f t="shared" si="65"/>
        <v>#N/A</v>
      </c>
      <c r="AT85" s="126">
        <v>0</v>
      </c>
      <c r="AU85" s="126"/>
      <c r="AV85" s="126"/>
      <c r="AW85" s="126"/>
      <c r="AX85" s="126"/>
      <c r="AY85" s="126">
        <f t="shared" si="66"/>
        <v>0</v>
      </c>
      <c r="AZ85" s="127"/>
      <c r="BA85" s="127"/>
      <c r="BB85" s="2"/>
      <c r="BC85" s="27" t="e">
        <f t="shared" si="67"/>
        <v>#N/A</v>
      </c>
      <c r="BD85" s="27" t="e">
        <f t="shared" si="68"/>
        <v>#N/A</v>
      </c>
      <c r="BE85" s="27"/>
      <c r="BF85" s="27">
        <f t="shared" si="69"/>
        <v>0</v>
      </c>
      <c r="BG85" s="27"/>
      <c r="BH85" s="27" t="e">
        <f t="shared" si="70"/>
        <v>#N/A</v>
      </c>
      <c r="BI85" s="27" t="e">
        <f t="shared" si="71"/>
        <v>#N/A</v>
      </c>
      <c r="BJ85" s="27" t="e">
        <f t="shared" si="72"/>
        <v>#N/A</v>
      </c>
      <c r="BK85" s="27"/>
      <c r="BL85" s="27"/>
      <c r="BM85" s="27" t="e">
        <f t="shared" si="73"/>
        <v>#N/A</v>
      </c>
      <c r="BN85" s="27" t="e">
        <f t="shared" si="74"/>
        <v>#N/A</v>
      </c>
      <c r="BO85" s="27" t="e">
        <f t="shared" si="75"/>
        <v>#N/A</v>
      </c>
      <c r="BP85" s="27"/>
      <c r="BQ85" s="27"/>
    </row>
    <row r="86" spans="1:69" x14ac:dyDescent="0.25">
      <c r="A86" s="128"/>
      <c r="B86" s="166"/>
      <c r="C86" s="144"/>
      <c r="D86" s="138" t="e">
        <f>VLOOKUP(G86,[1]!ModTbl,2,0)</f>
        <v>#N/A</v>
      </c>
      <c r="E86" s="138" t="e">
        <f>VLOOKUP(G86,[1]!ModTbl,3,0)</f>
        <v>#N/A</v>
      </c>
      <c r="F86" s="138" t="e">
        <f>VLOOKUP(G86,[1]!ModTbl,4,0)</f>
        <v>#N/A</v>
      </c>
      <c r="G86" s="145"/>
      <c r="H86" s="128"/>
      <c r="I86" s="128"/>
      <c r="J86" s="58" t="e">
        <f>VLOOKUP(G86,[1]!ModTbl,8,0)</f>
        <v>#N/A</v>
      </c>
      <c r="K86" s="58" t="e">
        <f>VLOOKUP(G86,[1]!ModTbl,9,0)</f>
        <v>#N/A</v>
      </c>
      <c r="L86" s="58" t="e">
        <f>VLOOKUP(G86,[1]!ModTbl,10,0)</f>
        <v>#N/A</v>
      </c>
      <c r="M86" s="58">
        <v>0</v>
      </c>
      <c r="N86" s="126" t="e">
        <f t="shared" si="40"/>
        <v>#N/A</v>
      </c>
      <c r="O86" s="126" t="e">
        <f t="shared" si="42"/>
        <v>#N/A</v>
      </c>
      <c r="P86" s="126" t="e">
        <f t="shared" si="43"/>
        <v>#N/A</v>
      </c>
      <c r="Q86" s="126" t="e">
        <f t="shared" si="44"/>
        <v>#N/A</v>
      </c>
      <c r="R86" s="126" t="e">
        <f t="shared" si="45"/>
        <v>#N/A</v>
      </c>
      <c r="S86" s="126" t="e">
        <f t="shared" si="46"/>
        <v>#N/A</v>
      </c>
      <c r="T86" s="126" t="e">
        <f t="shared" si="47"/>
        <v>#N/A</v>
      </c>
      <c r="U86" s="94" t="e">
        <f t="shared" si="48"/>
        <v>#N/A</v>
      </c>
      <c r="V86" s="94" t="e">
        <f t="shared" si="49"/>
        <v>#N/A</v>
      </c>
      <c r="W86" s="94" t="e">
        <f t="shared" si="50"/>
        <v>#N/A</v>
      </c>
      <c r="X86" s="94" t="e">
        <f t="shared" si="51"/>
        <v>#N/A</v>
      </c>
      <c r="Y86" s="95">
        <f t="shared" si="52"/>
        <v>0</v>
      </c>
      <c r="Z86" s="126" t="e">
        <f t="shared" si="53"/>
        <v>#N/A</v>
      </c>
      <c r="AA86" s="126" t="e">
        <f t="shared" si="54"/>
        <v>#N/A</v>
      </c>
      <c r="AB86" s="126" t="e">
        <f t="shared" si="55"/>
        <v>#N/A</v>
      </c>
      <c r="AC86" s="126" t="e">
        <f t="shared" si="56"/>
        <v>#N/A</v>
      </c>
      <c r="AD86" s="126"/>
      <c r="AE86" s="126"/>
      <c r="AF86" s="126"/>
      <c r="AG86" s="126"/>
      <c r="AH86" s="126"/>
      <c r="AI86" s="126">
        <f t="shared" si="41"/>
        <v>0</v>
      </c>
      <c r="AJ86" s="126"/>
      <c r="AK86" s="94" t="e">
        <f t="shared" si="57"/>
        <v>#N/A</v>
      </c>
      <c r="AL86" s="94" t="e">
        <f t="shared" si="58"/>
        <v>#N/A</v>
      </c>
      <c r="AM86" s="94" t="e">
        <f t="shared" si="59"/>
        <v>#N/A</v>
      </c>
      <c r="AN86" s="94" t="e">
        <f t="shared" si="60"/>
        <v>#N/A</v>
      </c>
      <c r="AO86" s="95">
        <f t="shared" si="61"/>
        <v>0</v>
      </c>
      <c r="AP86" s="126" t="e">
        <f t="shared" si="62"/>
        <v>#N/A</v>
      </c>
      <c r="AQ86" s="126" t="e">
        <f t="shared" si="63"/>
        <v>#N/A</v>
      </c>
      <c r="AR86" s="126" t="e">
        <f t="shared" si="64"/>
        <v>#N/A</v>
      </c>
      <c r="AS86" s="126" t="e">
        <f t="shared" si="65"/>
        <v>#N/A</v>
      </c>
      <c r="AT86" s="126">
        <v>0</v>
      </c>
      <c r="AU86" s="126"/>
      <c r="AV86" s="126"/>
      <c r="AW86" s="126"/>
      <c r="AX86" s="126"/>
      <c r="AY86" s="126">
        <f t="shared" si="66"/>
        <v>0</v>
      </c>
      <c r="AZ86" s="127"/>
      <c r="BA86" s="127"/>
      <c r="BB86" s="2"/>
      <c r="BC86" s="27" t="e">
        <f t="shared" si="67"/>
        <v>#N/A</v>
      </c>
      <c r="BD86" s="27" t="e">
        <f t="shared" si="68"/>
        <v>#N/A</v>
      </c>
      <c r="BE86" s="27"/>
      <c r="BF86" s="27">
        <f t="shared" si="69"/>
        <v>0</v>
      </c>
      <c r="BG86" s="27"/>
      <c r="BH86" s="27" t="e">
        <f t="shared" si="70"/>
        <v>#N/A</v>
      </c>
      <c r="BI86" s="27" t="e">
        <f t="shared" si="71"/>
        <v>#N/A</v>
      </c>
      <c r="BJ86" s="27" t="e">
        <f t="shared" si="72"/>
        <v>#N/A</v>
      </c>
      <c r="BK86" s="27"/>
      <c r="BL86" s="27"/>
      <c r="BM86" s="27" t="e">
        <f t="shared" si="73"/>
        <v>#N/A</v>
      </c>
      <c r="BN86" s="27" t="e">
        <f t="shared" si="74"/>
        <v>#N/A</v>
      </c>
      <c r="BO86" s="27" t="e">
        <f t="shared" si="75"/>
        <v>#N/A</v>
      </c>
      <c r="BP86" s="27"/>
      <c r="BQ86" s="27"/>
    </row>
    <row r="87" spans="1:69" x14ac:dyDescent="0.25">
      <c r="A87" s="128"/>
      <c r="B87" s="166"/>
      <c r="C87" s="144"/>
      <c r="D87" s="138" t="e">
        <f>VLOOKUP(G87,[1]!ModTbl,2,0)</f>
        <v>#N/A</v>
      </c>
      <c r="E87" s="138" t="e">
        <f>VLOOKUP(G87,[1]!ModTbl,3,0)</f>
        <v>#N/A</v>
      </c>
      <c r="F87" s="138" t="e">
        <f>VLOOKUP(G87,[1]!ModTbl,4,0)</f>
        <v>#N/A</v>
      </c>
      <c r="G87" s="145"/>
      <c r="H87" s="128"/>
      <c r="I87" s="128"/>
      <c r="J87" s="58" t="e">
        <f>VLOOKUP(G87,[1]!ModTbl,8,0)</f>
        <v>#N/A</v>
      </c>
      <c r="K87" s="58" t="e">
        <f>VLOOKUP(G87,[1]!ModTbl,9,0)</f>
        <v>#N/A</v>
      </c>
      <c r="L87" s="58" t="e">
        <f>VLOOKUP(G87,[1]!ModTbl,10,0)</f>
        <v>#N/A</v>
      </c>
      <c r="M87" s="58">
        <v>0</v>
      </c>
      <c r="N87" s="126" t="e">
        <f t="shared" si="40"/>
        <v>#N/A</v>
      </c>
      <c r="O87" s="126" t="e">
        <f t="shared" si="42"/>
        <v>#N/A</v>
      </c>
      <c r="P87" s="126" t="e">
        <f t="shared" si="43"/>
        <v>#N/A</v>
      </c>
      <c r="Q87" s="126" t="e">
        <f t="shared" si="44"/>
        <v>#N/A</v>
      </c>
      <c r="R87" s="126" t="e">
        <f t="shared" si="45"/>
        <v>#N/A</v>
      </c>
      <c r="S87" s="126" t="e">
        <f t="shared" si="46"/>
        <v>#N/A</v>
      </c>
      <c r="T87" s="126" t="e">
        <f t="shared" si="47"/>
        <v>#N/A</v>
      </c>
      <c r="U87" s="94" t="e">
        <f t="shared" si="48"/>
        <v>#N/A</v>
      </c>
      <c r="V87" s="94" t="e">
        <f t="shared" si="49"/>
        <v>#N/A</v>
      </c>
      <c r="W87" s="94" t="e">
        <f t="shared" si="50"/>
        <v>#N/A</v>
      </c>
      <c r="X87" s="94" t="e">
        <f t="shared" si="51"/>
        <v>#N/A</v>
      </c>
      <c r="Y87" s="95">
        <f t="shared" si="52"/>
        <v>0</v>
      </c>
      <c r="Z87" s="126" t="e">
        <f t="shared" si="53"/>
        <v>#N/A</v>
      </c>
      <c r="AA87" s="126" t="e">
        <f t="shared" si="54"/>
        <v>#N/A</v>
      </c>
      <c r="AB87" s="126" t="e">
        <f t="shared" si="55"/>
        <v>#N/A</v>
      </c>
      <c r="AC87" s="126" t="e">
        <f t="shared" si="56"/>
        <v>#N/A</v>
      </c>
      <c r="AD87" s="126"/>
      <c r="AE87" s="126"/>
      <c r="AF87" s="126"/>
      <c r="AG87" s="126"/>
      <c r="AH87" s="126"/>
      <c r="AI87" s="126">
        <f t="shared" si="41"/>
        <v>0</v>
      </c>
      <c r="AJ87" s="126"/>
      <c r="AK87" s="94" t="e">
        <f t="shared" si="57"/>
        <v>#N/A</v>
      </c>
      <c r="AL87" s="94" t="e">
        <f t="shared" si="58"/>
        <v>#N/A</v>
      </c>
      <c r="AM87" s="94" t="e">
        <f t="shared" si="59"/>
        <v>#N/A</v>
      </c>
      <c r="AN87" s="94" t="e">
        <f t="shared" si="60"/>
        <v>#N/A</v>
      </c>
      <c r="AO87" s="95">
        <f t="shared" si="61"/>
        <v>0</v>
      </c>
      <c r="AP87" s="126" t="e">
        <f t="shared" si="62"/>
        <v>#N/A</v>
      </c>
      <c r="AQ87" s="126" t="e">
        <f t="shared" si="63"/>
        <v>#N/A</v>
      </c>
      <c r="AR87" s="126" t="e">
        <f t="shared" si="64"/>
        <v>#N/A</v>
      </c>
      <c r="AS87" s="126" t="e">
        <f t="shared" si="65"/>
        <v>#N/A</v>
      </c>
      <c r="AT87" s="126">
        <v>0</v>
      </c>
      <c r="AU87" s="126"/>
      <c r="AV87" s="126"/>
      <c r="AW87" s="126"/>
      <c r="AX87" s="126"/>
      <c r="AY87" s="126">
        <f t="shared" si="66"/>
        <v>0</v>
      </c>
      <c r="AZ87" s="127"/>
      <c r="BA87" s="127"/>
      <c r="BB87" s="2"/>
      <c r="BC87" s="27" t="e">
        <f t="shared" si="67"/>
        <v>#N/A</v>
      </c>
      <c r="BD87" s="27" t="e">
        <f t="shared" si="68"/>
        <v>#N/A</v>
      </c>
      <c r="BE87" s="27"/>
      <c r="BF87" s="27">
        <f t="shared" si="69"/>
        <v>0</v>
      </c>
      <c r="BG87" s="27"/>
      <c r="BH87" s="27" t="e">
        <f t="shared" si="70"/>
        <v>#N/A</v>
      </c>
      <c r="BI87" s="27" t="e">
        <f t="shared" si="71"/>
        <v>#N/A</v>
      </c>
      <c r="BJ87" s="27" t="e">
        <f t="shared" si="72"/>
        <v>#N/A</v>
      </c>
      <c r="BK87" s="27"/>
      <c r="BL87" s="27"/>
      <c r="BM87" s="27" t="e">
        <f t="shared" si="73"/>
        <v>#N/A</v>
      </c>
      <c r="BN87" s="27" t="e">
        <f t="shared" si="74"/>
        <v>#N/A</v>
      </c>
      <c r="BO87" s="27" t="e">
        <f t="shared" si="75"/>
        <v>#N/A</v>
      </c>
      <c r="BP87" s="27"/>
      <c r="BQ87" s="27"/>
    </row>
    <row r="88" spans="1:69" x14ac:dyDescent="0.25">
      <c r="A88" s="128"/>
      <c r="B88" s="166"/>
      <c r="C88" s="144"/>
      <c r="D88" s="138" t="e">
        <f>VLOOKUP(G88,[1]!ModTbl,2,0)</f>
        <v>#N/A</v>
      </c>
      <c r="E88" s="138" t="e">
        <f>VLOOKUP(G88,[1]!ModTbl,3,0)</f>
        <v>#N/A</v>
      </c>
      <c r="F88" s="138" t="e">
        <f>VLOOKUP(G88,[1]!ModTbl,4,0)</f>
        <v>#N/A</v>
      </c>
      <c r="G88" s="145"/>
      <c r="H88" s="128"/>
      <c r="I88" s="128"/>
      <c r="J88" s="58" t="e">
        <f>VLOOKUP(G88,[1]!ModTbl,8,0)</f>
        <v>#N/A</v>
      </c>
      <c r="K88" s="58" t="e">
        <f>VLOOKUP(G88,[1]!ModTbl,9,0)</f>
        <v>#N/A</v>
      </c>
      <c r="L88" s="58" t="e">
        <f>VLOOKUP(G88,[1]!ModTbl,10,0)</f>
        <v>#N/A</v>
      </c>
      <c r="M88" s="58">
        <v>0</v>
      </c>
      <c r="N88" s="126" t="e">
        <f t="shared" si="40"/>
        <v>#N/A</v>
      </c>
      <c r="O88" s="126" t="e">
        <f t="shared" si="42"/>
        <v>#N/A</v>
      </c>
      <c r="P88" s="126" t="e">
        <f t="shared" si="43"/>
        <v>#N/A</v>
      </c>
      <c r="Q88" s="126" t="e">
        <f t="shared" si="44"/>
        <v>#N/A</v>
      </c>
      <c r="R88" s="126" t="e">
        <f t="shared" si="45"/>
        <v>#N/A</v>
      </c>
      <c r="S88" s="126" t="e">
        <f t="shared" si="46"/>
        <v>#N/A</v>
      </c>
      <c r="T88" s="126" t="e">
        <f t="shared" si="47"/>
        <v>#N/A</v>
      </c>
      <c r="U88" s="94" t="e">
        <f t="shared" si="48"/>
        <v>#N/A</v>
      </c>
      <c r="V88" s="94" t="e">
        <f t="shared" si="49"/>
        <v>#N/A</v>
      </c>
      <c r="W88" s="94" t="e">
        <f t="shared" si="50"/>
        <v>#N/A</v>
      </c>
      <c r="X88" s="94" t="e">
        <f t="shared" si="51"/>
        <v>#N/A</v>
      </c>
      <c r="Y88" s="95">
        <f t="shared" si="52"/>
        <v>0</v>
      </c>
      <c r="Z88" s="126" t="e">
        <f t="shared" si="53"/>
        <v>#N/A</v>
      </c>
      <c r="AA88" s="126" t="e">
        <f t="shared" si="54"/>
        <v>#N/A</v>
      </c>
      <c r="AB88" s="126" t="e">
        <f t="shared" si="55"/>
        <v>#N/A</v>
      </c>
      <c r="AC88" s="126" t="e">
        <f t="shared" si="56"/>
        <v>#N/A</v>
      </c>
      <c r="AD88" s="126"/>
      <c r="AE88" s="126"/>
      <c r="AF88" s="126"/>
      <c r="AG88" s="126"/>
      <c r="AH88" s="126"/>
      <c r="AI88" s="126">
        <f t="shared" si="41"/>
        <v>0</v>
      </c>
      <c r="AJ88" s="126"/>
      <c r="AK88" s="94" t="e">
        <f t="shared" si="57"/>
        <v>#N/A</v>
      </c>
      <c r="AL88" s="94" t="e">
        <f t="shared" si="58"/>
        <v>#N/A</v>
      </c>
      <c r="AM88" s="94" t="e">
        <f t="shared" si="59"/>
        <v>#N/A</v>
      </c>
      <c r="AN88" s="94" t="e">
        <f t="shared" si="60"/>
        <v>#N/A</v>
      </c>
      <c r="AO88" s="95">
        <f t="shared" si="61"/>
        <v>0</v>
      </c>
      <c r="AP88" s="126" t="e">
        <f t="shared" si="62"/>
        <v>#N/A</v>
      </c>
      <c r="AQ88" s="126" t="e">
        <f t="shared" si="63"/>
        <v>#N/A</v>
      </c>
      <c r="AR88" s="126" t="e">
        <f t="shared" si="64"/>
        <v>#N/A</v>
      </c>
      <c r="AS88" s="126" t="e">
        <f t="shared" si="65"/>
        <v>#N/A</v>
      </c>
      <c r="AT88" s="126">
        <v>0</v>
      </c>
      <c r="AU88" s="126"/>
      <c r="AV88" s="126"/>
      <c r="AW88" s="126"/>
      <c r="AX88" s="126"/>
      <c r="AY88" s="126">
        <f t="shared" si="66"/>
        <v>0</v>
      </c>
      <c r="AZ88" s="127"/>
      <c r="BA88" s="127"/>
      <c r="BB88" s="2"/>
      <c r="BC88" s="27" t="e">
        <f t="shared" si="67"/>
        <v>#N/A</v>
      </c>
      <c r="BD88" s="27" t="e">
        <f t="shared" si="68"/>
        <v>#N/A</v>
      </c>
      <c r="BE88" s="27"/>
      <c r="BF88" s="27">
        <f t="shared" si="69"/>
        <v>0</v>
      </c>
      <c r="BG88" s="27"/>
      <c r="BH88" s="27" t="e">
        <f t="shared" si="70"/>
        <v>#N/A</v>
      </c>
      <c r="BI88" s="27" t="e">
        <f t="shared" si="71"/>
        <v>#N/A</v>
      </c>
      <c r="BJ88" s="27" t="e">
        <f t="shared" si="72"/>
        <v>#N/A</v>
      </c>
      <c r="BK88" s="27"/>
      <c r="BL88" s="27"/>
      <c r="BM88" s="27" t="e">
        <f t="shared" si="73"/>
        <v>#N/A</v>
      </c>
      <c r="BN88" s="27" t="e">
        <f t="shared" si="74"/>
        <v>#N/A</v>
      </c>
      <c r="BO88" s="27" t="e">
        <f t="shared" si="75"/>
        <v>#N/A</v>
      </c>
      <c r="BP88" s="27"/>
      <c r="BQ88" s="27"/>
    </row>
    <row r="89" spans="1:69" x14ac:dyDescent="0.25">
      <c r="A89" s="128"/>
      <c r="B89" s="166"/>
      <c r="C89" s="144"/>
      <c r="D89" s="138" t="e">
        <f>VLOOKUP(G89,[1]!ModTbl,2,0)</f>
        <v>#N/A</v>
      </c>
      <c r="E89" s="138" t="e">
        <f>VLOOKUP(G89,[1]!ModTbl,3,0)</f>
        <v>#N/A</v>
      </c>
      <c r="F89" s="138" t="e">
        <f>VLOOKUP(G89,[1]!ModTbl,4,0)</f>
        <v>#N/A</v>
      </c>
      <c r="G89" s="145"/>
      <c r="H89" s="128"/>
      <c r="I89" s="128"/>
      <c r="J89" s="58" t="e">
        <f>VLOOKUP(G89,[1]!ModTbl,8,0)</f>
        <v>#N/A</v>
      </c>
      <c r="K89" s="58" t="e">
        <f>VLOOKUP(G89,[1]!ModTbl,9,0)</f>
        <v>#N/A</v>
      </c>
      <c r="L89" s="58" t="e">
        <f>VLOOKUP(G89,[1]!ModTbl,10,0)</f>
        <v>#N/A</v>
      </c>
      <c r="M89" s="58">
        <v>0</v>
      </c>
      <c r="N89" s="126" t="e">
        <f t="shared" si="40"/>
        <v>#N/A</v>
      </c>
      <c r="O89" s="126" t="e">
        <f t="shared" si="42"/>
        <v>#N/A</v>
      </c>
      <c r="P89" s="126" t="e">
        <f t="shared" si="43"/>
        <v>#N/A</v>
      </c>
      <c r="Q89" s="126" t="e">
        <f t="shared" si="44"/>
        <v>#N/A</v>
      </c>
      <c r="R89" s="126" t="e">
        <f t="shared" si="45"/>
        <v>#N/A</v>
      </c>
      <c r="S89" s="126" t="e">
        <f t="shared" si="46"/>
        <v>#N/A</v>
      </c>
      <c r="T89" s="126" t="e">
        <f t="shared" si="47"/>
        <v>#N/A</v>
      </c>
      <c r="U89" s="94" t="e">
        <f t="shared" si="48"/>
        <v>#N/A</v>
      </c>
      <c r="V89" s="94" t="e">
        <f t="shared" si="49"/>
        <v>#N/A</v>
      </c>
      <c r="W89" s="94" t="e">
        <f t="shared" si="50"/>
        <v>#N/A</v>
      </c>
      <c r="X89" s="94" t="e">
        <f t="shared" si="51"/>
        <v>#N/A</v>
      </c>
      <c r="Y89" s="95">
        <f t="shared" si="52"/>
        <v>0</v>
      </c>
      <c r="Z89" s="126" t="e">
        <f t="shared" si="53"/>
        <v>#N/A</v>
      </c>
      <c r="AA89" s="126" t="e">
        <f t="shared" si="54"/>
        <v>#N/A</v>
      </c>
      <c r="AB89" s="126" t="e">
        <f t="shared" si="55"/>
        <v>#N/A</v>
      </c>
      <c r="AC89" s="126" t="e">
        <f t="shared" si="56"/>
        <v>#N/A</v>
      </c>
      <c r="AD89" s="126"/>
      <c r="AE89" s="126"/>
      <c r="AF89" s="126"/>
      <c r="AG89" s="126"/>
      <c r="AH89" s="126"/>
      <c r="AI89" s="126">
        <f t="shared" si="41"/>
        <v>0</v>
      </c>
      <c r="AJ89" s="126"/>
      <c r="AK89" s="94" t="e">
        <f t="shared" si="57"/>
        <v>#N/A</v>
      </c>
      <c r="AL89" s="94" t="e">
        <f t="shared" si="58"/>
        <v>#N/A</v>
      </c>
      <c r="AM89" s="94" t="e">
        <f t="shared" si="59"/>
        <v>#N/A</v>
      </c>
      <c r="AN89" s="94" t="e">
        <f t="shared" si="60"/>
        <v>#N/A</v>
      </c>
      <c r="AO89" s="95">
        <f t="shared" si="61"/>
        <v>0</v>
      </c>
      <c r="AP89" s="126" t="e">
        <f t="shared" si="62"/>
        <v>#N/A</v>
      </c>
      <c r="AQ89" s="126" t="e">
        <f t="shared" si="63"/>
        <v>#N/A</v>
      </c>
      <c r="AR89" s="126" t="e">
        <f t="shared" si="64"/>
        <v>#N/A</v>
      </c>
      <c r="AS89" s="126" t="e">
        <f t="shared" si="65"/>
        <v>#N/A</v>
      </c>
      <c r="AT89" s="126">
        <v>0</v>
      </c>
      <c r="AU89" s="126"/>
      <c r="AV89" s="126"/>
      <c r="AW89" s="126"/>
      <c r="AX89" s="126"/>
      <c r="AY89" s="126">
        <f t="shared" si="66"/>
        <v>0</v>
      </c>
      <c r="AZ89" s="127"/>
      <c r="BA89" s="127"/>
      <c r="BB89" s="2"/>
      <c r="BC89" s="27" t="e">
        <f t="shared" si="67"/>
        <v>#N/A</v>
      </c>
      <c r="BD89" s="27" t="e">
        <f t="shared" si="68"/>
        <v>#N/A</v>
      </c>
      <c r="BE89" s="27"/>
      <c r="BF89" s="27">
        <f t="shared" si="69"/>
        <v>0</v>
      </c>
      <c r="BG89" s="27"/>
      <c r="BH89" s="27" t="e">
        <f t="shared" si="70"/>
        <v>#N/A</v>
      </c>
      <c r="BI89" s="27" t="e">
        <f t="shared" si="71"/>
        <v>#N/A</v>
      </c>
      <c r="BJ89" s="27" t="e">
        <f t="shared" si="72"/>
        <v>#N/A</v>
      </c>
      <c r="BK89" s="27"/>
      <c r="BL89" s="27"/>
      <c r="BM89" s="27" t="e">
        <f t="shared" si="73"/>
        <v>#N/A</v>
      </c>
      <c r="BN89" s="27" t="e">
        <f t="shared" si="74"/>
        <v>#N/A</v>
      </c>
      <c r="BO89" s="27" t="e">
        <f t="shared" si="75"/>
        <v>#N/A</v>
      </c>
      <c r="BP89" s="27"/>
      <c r="BQ89" s="27"/>
    </row>
    <row r="90" spans="1:69" x14ac:dyDescent="0.25">
      <c r="A90" s="128"/>
      <c r="B90" s="166"/>
      <c r="C90" s="126"/>
      <c r="D90" s="57" t="e">
        <f>VLOOKUP(G90,[1]!ModTbl,2,0)</f>
        <v>#N/A</v>
      </c>
      <c r="E90" s="57" t="e">
        <f>VLOOKUP(G90,[1]!ModTbl,3,0)</f>
        <v>#N/A</v>
      </c>
      <c r="F90" s="57" t="e">
        <f>VLOOKUP(G90,[1]!ModTbl,4,0)</f>
        <v>#N/A</v>
      </c>
      <c r="G90" s="25"/>
      <c r="H90" s="128"/>
      <c r="I90" s="128"/>
      <c r="J90" s="58" t="e">
        <f>VLOOKUP(G90,[1]!ModTbl,8,0)</f>
        <v>#N/A</v>
      </c>
      <c r="K90" s="58" t="e">
        <f>VLOOKUP(G90,[1]!ModTbl,9,0)</f>
        <v>#N/A</v>
      </c>
      <c r="L90" s="58" t="e">
        <f>VLOOKUP(G90,[1]!ModTbl,10,0)</f>
        <v>#N/A</v>
      </c>
      <c r="M90" s="58">
        <v>0</v>
      </c>
      <c r="N90" s="126" t="e">
        <f t="shared" si="40"/>
        <v>#N/A</v>
      </c>
      <c r="O90" s="126" t="e">
        <f t="shared" si="42"/>
        <v>#N/A</v>
      </c>
      <c r="P90" s="126" t="e">
        <f t="shared" si="43"/>
        <v>#N/A</v>
      </c>
      <c r="Q90" s="126" t="e">
        <f t="shared" si="44"/>
        <v>#N/A</v>
      </c>
      <c r="R90" s="126" t="e">
        <f t="shared" si="45"/>
        <v>#N/A</v>
      </c>
      <c r="S90" s="126" t="e">
        <f t="shared" si="46"/>
        <v>#N/A</v>
      </c>
      <c r="T90" s="126" t="e">
        <f t="shared" si="47"/>
        <v>#N/A</v>
      </c>
      <c r="U90" s="94" t="e">
        <f t="shared" si="48"/>
        <v>#N/A</v>
      </c>
      <c r="V90" s="94" t="e">
        <f t="shared" si="49"/>
        <v>#N/A</v>
      </c>
      <c r="W90" s="94" t="e">
        <f t="shared" si="50"/>
        <v>#N/A</v>
      </c>
      <c r="X90" s="94" t="e">
        <f t="shared" si="51"/>
        <v>#N/A</v>
      </c>
      <c r="Y90" s="95">
        <f t="shared" si="52"/>
        <v>0</v>
      </c>
      <c r="Z90" s="126" t="e">
        <f t="shared" si="53"/>
        <v>#N/A</v>
      </c>
      <c r="AA90" s="126" t="e">
        <f t="shared" si="54"/>
        <v>#N/A</v>
      </c>
      <c r="AB90" s="126" t="e">
        <f t="shared" si="55"/>
        <v>#N/A</v>
      </c>
      <c r="AC90" s="126" t="e">
        <f t="shared" si="56"/>
        <v>#N/A</v>
      </c>
      <c r="AD90" s="126"/>
      <c r="AE90" s="126"/>
      <c r="AF90" s="126"/>
      <c r="AG90" s="126"/>
      <c r="AH90" s="126"/>
      <c r="AI90" s="126">
        <f t="shared" si="41"/>
        <v>0</v>
      </c>
      <c r="AJ90" s="126"/>
      <c r="AK90" s="94" t="e">
        <f t="shared" si="57"/>
        <v>#N/A</v>
      </c>
      <c r="AL90" s="94" t="e">
        <f t="shared" si="58"/>
        <v>#N/A</v>
      </c>
      <c r="AM90" s="94" t="e">
        <f t="shared" si="59"/>
        <v>#N/A</v>
      </c>
      <c r="AN90" s="94" t="e">
        <f t="shared" si="60"/>
        <v>#N/A</v>
      </c>
      <c r="AO90" s="95">
        <f t="shared" si="61"/>
        <v>0</v>
      </c>
      <c r="AP90" s="126" t="e">
        <f t="shared" si="62"/>
        <v>#N/A</v>
      </c>
      <c r="AQ90" s="126" t="e">
        <f t="shared" si="63"/>
        <v>#N/A</v>
      </c>
      <c r="AR90" s="126" t="e">
        <f t="shared" si="64"/>
        <v>#N/A</v>
      </c>
      <c r="AS90" s="126" t="e">
        <f t="shared" si="65"/>
        <v>#N/A</v>
      </c>
      <c r="AT90" s="126">
        <v>0</v>
      </c>
      <c r="AU90" s="126"/>
      <c r="AV90" s="126"/>
      <c r="AW90" s="126"/>
      <c r="AX90" s="126"/>
      <c r="AY90" s="126">
        <f t="shared" si="66"/>
        <v>0</v>
      </c>
      <c r="AZ90" s="127"/>
      <c r="BA90" s="127"/>
      <c r="BB90" s="2"/>
      <c r="BC90" s="27" t="e">
        <f t="shared" si="67"/>
        <v>#N/A</v>
      </c>
      <c r="BD90" s="27" t="e">
        <f t="shared" si="68"/>
        <v>#N/A</v>
      </c>
      <c r="BE90" s="27"/>
      <c r="BF90" s="27">
        <f t="shared" si="69"/>
        <v>0</v>
      </c>
      <c r="BG90" s="27"/>
      <c r="BH90" s="27" t="e">
        <f t="shared" si="70"/>
        <v>#N/A</v>
      </c>
      <c r="BI90" s="27" t="e">
        <f t="shared" si="71"/>
        <v>#N/A</v>
      </c>
      <c r="BJ90" s="27" t="e">
        <f t="shared" si="72"/>
        <v>#N/A</v>
      </c>
      <c r="BK90" s="27"/>
      <c r="BL90" s="27"/>
      <c r="BM90" s="27" t="e">
        <f t="shared" si="73"/>
        <v>#N/A</v>
      </c>
      <c r="BN90" s="27" t="e">
        <f t="shared" si="74"/>
        <v>#N/A</v>
      </c>
      <c r="BO90" s="27" t="e">
        <f t="shared" si="75"/>
        <v>#N/A</v>
      </c>
      <c r="BP90" s="27"/>
      <c r="BQ90" s="27"/>
    </row>
    <row r="91" spans="1:69" x14ac:dyDescent="0.25">
      <c r="A91" s="128"/>
      <c r="B91" s="166"/>
      <c r="C91" s="126"/>
      <c r="D91" s="57" t="e">
        <f>VLOOKUP(G91,[1]!ModTbl,2,0)</f>
        <v>#N/A</v>
      </c>
      <c r="E91" s="57" t="e">
        <f>VLOOKUP(G91,[1]!ModTbl,3,0)</f>
        <v>#N/A</v>
      </c>
      <c r="F91" s="57" t="e">
        <f>VLOOKUP(G91,[1]!ModTbl,4,0)</f>
        <v>#N/A</v>
      </c>
      <c r="G91" s="25"/>
      <c r="H91" s="128"/>
      <c r="I91" s="128"/>
      <c r="J91" s="58" t="e">
        <f>VLOOKUP(G91,[1]!ModTbl,8,0)</f>
        <v>#N/A</v>
      </c>
      <c r="K91" s="58" t="e">
        <f>VLOOKUP(G91,[1]!ModTbl,9,0)</f>
        <v>#N/A</v>
      </c>
      <c r="L91" s="58" t="e">
        <f>VLOOKUP(G91,[1]!ModTbl,10,0)</f>
        <v>#N/A</v>
      </c>
      <c r="M91" s="58">
        <v>0</v>
      </c>
      <c r="N91" s="126" t="e">
        <f t="shared" si="40"/>
        <v>#N/A</v>
      </c>
      <c r="O91" s="126" t="e">
        <f t="shared" si="42"/>
        <v>#N/A</v>
      </c>
      <c r="P91" s="126" t="e">
        <f t="shared" si="43"/>
        <v>#N/A</v>
      </c>
      <c r="Q91" s="126" t="e">
        <f t="shared" si="44"/>
        <v>#N/A</v>
      </c>
      <c r="R91" s="126" t="e">
        <f t="shared" si="45"/>
        <v>#N/A</v>
      </c>
      <c r="S91" s="126" t="e">
        <f t="shared" si="46"/>
        <v>#N/A</v>
      </c>
      <c r="T91" s="126" t="e">
        <f t="shared" si="47"/>
        <v>#N/A</v>
      </c>
      <c r="U91" s="94" t="e">
        <f t="shared" si="48"/>
        <v>#N/A</v>
      </c>
      <c r="V91" s="94" t="e">
        <f t="shared" si="49"/>
        <v>#N/A</v>
      </c>
      <c r="W91" s="94" t="e">
        <f t="shared" si="50"/>
        <v>#N/A</v>
      </c>
      <c r="X91" s="94" t="e">
        <f t="shared" si="51"/>
        <v>#N/A</v>
      </c>
      <c r="Y91" s="95">
        <f t="shared" si="52"/>
        <v>0</v>
      </c>
      <c r="Z91" s="126" t="e">
        <f t="shared" si="53"/>
        <v>#N/A</v>
      </c>
      <c r="AA91" s="126" t="e">
        <f t="shared" si="54"/>
        <v>#N/A</v>
      </c>
      <c r="AB91" s="126" t="e">
        <f t="shared" si="55"/>
        <v>#N/A</v>
      </c>
      <c r="AC91" s="126" t="e">
        <f t="shared" si="56"/>
        <v>#N/A</v>
      </c>
      <c r="AD91" s="126"/>
      <c r="AE91" s="126"/>
      <c r="AF91" s="126"/>
      <c r="AG91" s="126"/>
      <c r="AH91" s="126"/>
      <c r="AI91" s="126">
        <f t="shared" si="41"/>
        <v>0</v>
      </c>
      <c r="AJ91" s="126"/>
      <c r="AK91" s="94" t="e">
        <f t="shared" si="57"/>
        <v>#N/A</v>
      </c>
      <c r="AL91" s="94" t="e">
        <f t="shared" si="58"/>
        <v>#N/A</v>
      </c>
      <c r="AM91" s="94" t="e">
        <f t="shared" si="59"/>
        <v>#N/A</v>
      </c>
      <c r="AN91" s="94" t="e">
        <f t="shared" si="60"/>
        <v>#N/A</v>
      </c>
      <c r="AO91" s="95">
        <f t="shared" si="61"/>
        <v>0</v>
      </c>
      <c r="AP91" s="126" t="e">
        <f t="shared" si="62"/>
        <v>#N/A</v>
      </c>
      <c r="AQ91" s="126" t="e">
        <f t="shared" si="63"/>
        <v>#N/A</v>
      </c>
      <c r="AR91" s="126" t="e">
        <f t="shared" si="64"/>
        <v>#N/A</v>
      </c>
      <c r="AS91" s="126" t="e">
        <f t="shared" si="65"/>
        <v>#N/A</v>
      </c>
      <c r="AT91" s="126">
        <v>0</v>
      </c>
      <c r="AU91" s="126"/>
      <c r="AV91" s="126"/>
      <c r="AW91" s="126"/>
      <c r="AX91" s="126"/>
      <c r="AY91" s="126">
        <f t="shared" si="66"/>
        <v>0</v>
      </c>
      <c r="AZ91" s="127"/>
      <c r="BA91" s="127"/>
      <c r="BB91" s="2"/>
      <c r="BC91" s="27" t="e">
        <f t="shared" si="67"/>
        <v>#N/A</v>
      </c>
      <c r="BD91" s="27" t="e">
        <f t="shared" si="68"/>
        <v>#N/A</v>
      </c>
      <c r="BE91" s="27"/>
      <c r="BF91" s="27">
        <f t="shared" si="69"/>
        <v>0</v>
      </c>
      <c r="BG91" s="27"/>
      <c r="BH91" s="27" t="e">
        <f t="shared" si="70"/>
        <v>#N/A</v>
      </c>
      <c r="BI91" s="27" t="e">
        <f t="shared" si="71"/>
        <v>#N/A</v>
      </c>
      <c r="BJ91" s="27" t="e">
        <f t="shared" si="72"/>
        <v>#N/A</v>
      </c>
      <c r="BK91" s="27"/>
      <c r="BL91" s="27"/>
      <c r="BM91" s="27" t="e">
        <f t="shared" si="73"/>
        <v>#N/A</v>
      </c>
      <c r="BN91" s="27" t="e">
        <f t="shared" si="74"/>
        <v>#N/A</v>
      </c>
      <c r="BO91" s="27" t="e">
        <f t="shared" si="75"/>
        <v>#N/A</v>
      </c>
      <c r="BP91" s="27"/>
      <c r="BQ91" s="27"/>
    </row>
    <row r="92" spans="1:69" x14ac:dyDescent="0.25">
      <c r="A92" s="128"/>
      <c r="B92" s="166"/>
      <c r="C92" s="126"/>
      <c r="D92" s="57" t="e">
        <f>VLOOKUP(G92,[1]!ModTbl,2,0)</f>
        <v>#N/A</v>
      </c>
      <c r="E92" s="57" t="e">
        <f>VLOOKUP(G92,[1]!ModTbl,3,0)</f>
        <v>#N/A</v>
      </c>
      <c r="F92" s="57" t="e">
        <f>VLOOKUP(G92,[1]!ModTbl,4,0)</f>
        <v>#N/A</v>
      </c>
      <c r="G92" s="25"/>
      <c r="H92" s="128"/>
      <c r="I92" s="128"/>
      <c r="J92" s="58" t="e">
        <f>VLOOKUP(G92,[1]!ModTbl,8,0)</f>
        <v>#N/A</v>
      </c>
      <c r="K92" s="58" t="e">
        <f>VLOOKUP(G92,[1]!ModTbl,9,0)</f>
        <v>#N/A</v>
      </c>
      <c r="L92" s="58" t="e">
        <f>VLOOKUP(G92,[1]!ModTbl,10,0)</f>
        <v>#N/A</v>
      </c>
      <c r="M92" s="58">
        <v>0</v>
      </c>
      <c r="N92" s="126" t="e">
        <f t="shared" si="40"/>
        <v>#N/A</v>
      </c>
      <c r="O92" s="126" t="e">
        <f t="shared" si="42"/>
        <v>#N/A</v>
      </c>
      <c r="P92" s="126" t="e">
        <f t="shared" si="43"/>
        <v>#N/A</v>
      </c>
      <c r="Q92" s="126" t="e">
        <f t="shared" si="44"/>
        <v>#N/A</v>
      </c>
      <c r="R92" s="126" t="e">
        <f t="shared" si="45"/>
        <v>#N/A</v>
      </c>
      <c r="S92" s="126" t="e">
        <f t="shared" si="46"/>
        <v>#N/A</v>
      </c>
      <c r="T92" s="126" t="e">
        <f t="shared" si="47"/>
        <v>#N/A</v>
      </c>
      <c r="U92" s="94" t="e">
        <f t="shared" si="48"/>
        <v>#N/A</v>
      </c>
      <c r="V92" s="94" t="e">
        <f t="shared" si="49"/>
        <v>#N/A</v>
      </c>
      <c r="W92" s="94" t="e">
        <f t="shared" si="50"/>
        <v>#N/A</v>
      </c>
      <c r="X92" s="94" t="e">
        <f t="shared" si="51"/>
        <v>#N/A</v>
      </c>
      <c r="Y92" s="95">
        <f t="shared" si="52"/>
        <v>0</v>
      </c>
      <c r="Z92" s="126" t="e">
        <f t="shared" si="53"/>
        <v>#N/A</v>
      </c>
      <c r="AA92" s="126" t="e">
        <f t="shared" si="54"/>
        <v>#N/A</v>
      </c>
      <c r="AB92" s="126" t="e">
        <f t="shared" si="55"/>
        <v>#N/A</v>
      </c>
      <c r="AC92" s="126" t="e">
        <f t="shared" si="56"/>
        <v>#N/A</v>
      </c>
      <c r="AD92" s="126"/>
      <c r="AE92" s="126"/>
      <c r="AF92" s="126"/>
      <c r="AG92" s="126"/>
      <c r="AH92" s="126"/>
      <c r="AI92" s="126">
        <f t="shared" si="41"/>
        <v>0</v>
      </c>
      <c r="AJ92" s="126"/>
      <c r="AK92" s="94" t="e">
        <f t="shared" si="57"/>
        <v>#N/A</v>
      </c>
      <c r="AL92" s="94" t="e">
        <f t="shared" si="58"/>
        <v>#N/A</v>
      </c>
      <c r="AM92" s="94" t="e">
        <f t="shared" si="59"/>
        <v>#N/A</v>
      </c>
      <c r="AN92" s="94" t="e">
        <f t="shared" si="60"/>
        <v>#N/A</v>
      </c>
      <c r="AO92" s="95">
        <f t="shared" si="61"/>
        <v>0</v>
      </c>
      <c r="AP92" s="126" t="e">
        <f t="shared" si="62"/>
        <v>#N/A</v>
      </c>
      <c r="AQ92" s="126" t="e">
        <f t="shared" si="63"/>
        <v>#N/A</v>
      </c>
      <c r="AR92" s="126" t="e">
        <f t="shared" si="64"/>
        <v>#N/A</v>
      </c>
      <c r="AS92" s="126" t="e">
        <f t="shared" si="65"/>
        <v>#N/A</v>
      </c>
      <c r="AT92" s="126">
        <v>0</v>
      </c>
      <c r="AU92" s="126"/>
      <c r="AV92" s="126"/>
      <c r="AW92" s="126"/>
      <c r="AX92" s="126"/>
      <c r="AY92" s="126">
        <f t="shared" si="66"/>
        <v>0</v>
      </c>
      <c r="AZ92" s="127"/>
      <c r="BA92" s="127"/>
      <c r="BB92" s="2"/>
      <c r="BC92" s="27" t="e">
        <f t="shared" si="67"/>
        <v>#N/A</v>
      </c>
      <c r="BD92" s="27" t="e">
        <f t="shared" si="68"/>
        <v>#N/A</v>
      </c>
      <c r="BE92" s="27"/>
      <c r="BF92" s="27">
        <f t="shared" si="69"/>
        <v>0</v>
      </c>
      <c r="BG92" s="27"/>
      <c r="BH92" s="27" t="e">
        <f t="shared" si="70"/>
        <v>#N/A</v>
      </c>
      <c r="BI92" s="27" t="e">
        <f t="shared" si="71"/>
        <v>#N/A</v>
      </c>
      <c r="BJ92" s="27" t="e">
        <f t="shared" si="72"/>
        <v>#N/A</v>
      </c>
      <c r="BK92" s="27"/>
      <c r="BL92" s="27"/>
      <c r="BM92" s="27" t="e">
        <f t="shared" si="73"/>
        <v>#N/A</v>
      </c>
      <c r="BN92" s="27" t="e">
        <f t="shared" si="74"/>
        <v>#N/A</v>
      </c>
      <c r="BO92" s="27" t="e">
        <f t="shared" si="75"/>
        <v>#N/A</v>
      </c>
      <c r="BP92" s="27"/>
      <c r="BQ92" s="27"/>
    </row>
    <row r="93" spans="1:69" x14ac:dyDescent="0.25">
      <c r="A93" s="128"/>
      <c r="B93" s="166"/>
      <c r="C93" s="144"/>
      <c r="D93" s="138" t="e">
        <f>VLOOKUP(G93,[1]!ModTbl,2,0)</f>
        <v>#N/A</v>
      </c>
      <c r="E93" s="138" t="e">
        <f>VLOOKUP(G93,[1]!ModTbl,3,0)</f>
        <v>#N/A</v>
      </c>
      <c r="F93" s="138" t="e">
        <f>VLOOKUP(G93,[1]!ModTbl,4,0)</f>
        <v>#N/A</v>
      </c>
      <c r="G93" s="145"/>
      <c r="H93" s="128"/>
      <c r="I93" s="128"/>
      <c r="J93" s="58" t="e">
        <f>VLOOKUP(G93,[1]!ModTbl,8,0)</f>
        <v>#N/A</v>
      </c>
      <c r="K93" s="58" t="e">
        <f>VLOOKUP(G93,[1]!ModTbl,9,0)</f>
        <v>#N/A</v>
      </c>
      <c r="L93" s="58" t="e">
        <f>VLOOKUP(G93,[1]!ModTbl,10,0)</f>
        <v>#N/A</v>
      </c>
      <c r="M93" s="58">
        <v>0</v>
      </c>
      <c r="N93" s="126" t="e">
        <f t="shared" si="40"/>
        <v>#N/A</v>
      </c>
      <c r="O93" s="126" t="e">
        <f t="shared" si="42"/>
        <v>#N/A</v>
      </c>
      <c r="P93" s="126" t="e">
        <f t="shared" si="43"/>
        <v>#N/A</v>
      </c>
      <c r="Q93" s="126" t="e">
        <f t="shared" si="44"/>
        <v>#N/A</v>
      </c>
      <c r="R93" s="126" t="e">
        <f t="shared" si="45"/>
        <v>#N/A</v>
      </c>
      <c r="S93" s="126" t="e">
        <f t="shared" si="46"/>
        <v>#N/A</v>
      </c>
      <c r="T93" s="126" t="e">
        <f t="shared" si="47"/>
        <v>#N/A</v>
      </c>
      <c r="U93" s="94" t="e">
        <f t="shared" si="48"/>
        <v>#N/A</v>
      </c>
      <c r="V93" s="94" t="e">
        <f t="shared" si="49"/>
        <v>#N/A</v>
      </c>
      <c r="W93" s="94" t="e">
        <f t="shared" si="50"/>
        <v>#N/A</v>
      </c>
      <c r="X93" s="94" t="e">
        <f t="shared" si="51"/>
        <v>#N/A</v>
      </c>
      <c r="Y93" s="95">
        <f t="shared" si="52"/>
        <v>0</v>
      </c>
      <c r="Z93" s="126" t="e">
        <f t="shared" si="53"/>
        <v>#N/A</v>
      </c>
      <c r="AA93" s="126" t="e">
        <f t="shared" si="54"/>
        <v>#N/A</v>
      </c>
      <c r="AB93" s="126" t="e">
        <f t="shared" si="55"/>
        <v>#N/A</v>
      </c>
      <c r="AC93" s="126" t="e">
        <f t="shared" si="56"/>
        <v>#N/A</v>
      </c>
      <c r="AD93" s="126"/>
      <c r="AE93" s="126"/>
      <c r="AF93" s="126"/>
      <c r="AG93" s="126"/>
      <c r="AH93" s="126"/>
      <c r="AI93" s="126">
        <f t="shared" si="41"/>
        <v>0</v>
      </c>
      <c r="AJ93" s="126"/>
      <c r="AK93" s="94" t="e">
        <f t="shared" si="57"/>
        <v>#N/A</v>
      </c>
      <c r="AL93" s="94" t="e">
        <f t="shared" si="58"/>
        <v>#N/A</v>
      </c>
      <c r="AM93" s="94" t="e">
        <f t="shared" si="59"/>
        <v>#N/A</v>
      </c>
      <c r="AN93" s="94" t="e">
        <f t="shared" si="60"/>
        <v>#N/A</v>
      </c>
      <c r="AO93" s="95">
        <f t="shared" si="61"/>
        <v>0</v>
      </c>
      <c r="AP93" s="126" t="e">
        <f t="shared" si="62"/>
        <v>#N/A</v>
      </c>
      <c r="AQ93" s="126" t="e">
        <f t="shared" si="63"/>
        <v>#N/A</v>
      </c>
      <c r="AR93" s="126" t="e">
        <f t="shared" si="64"/>
        <v>#N/A</v>
      </c>
      <c r="AS93" s="126" t="e">
        <f t="shared" si="65"/>
        <v>#N/A</v>
      </c>
      <c r="AT93" s="126">
        <v>0</v>
      </c>
      <c r="AU93" s="126"/>
      <c r="AV93" s="126"/>
      <c r="AW93" s="126"/>
      <c r="AX93" s="126"/>
      <c r="AY93" s="126">
        <f t="shared" si="66"/>
        <v>0</v>
      </c>
      <c r="AZ93" s="127"/>
      <c r="BA93" s="127"/>
      <c r="BB93" s="2"/>
      <c r="BC93" s="27" t="e">
        <f t="shared" si="67"/>
        <v>#N/A</v>
      </c>
      <c r="BD93" s="27" t="e">
        <f t="shared" si="68"/>
        <v>#N/A</v>
      </c>
      <c r="BE93" s="27"/>
      <c r="BF93" s="27">
        <f t="shared" si="69"/>
        <v>0</v>
      </c>
      <c r="BG93" s="27"/>
      <c r="BH93" s="27" t="e">
        <f t="shared" si="70"/>
        <v>#N/A</v>
      </c>
      <c r="BI93" s="27" t="e">
        <f t="shared" si="71"/>
        <v>#N/A</v>
      </c>
      <c r="BJ93" s="27" t="e">
        <f t="shared" si="72"/>
        <v>#N/A</v>
      </c>
      <c r="BK93" s="27"/>
      <c r="BL93" s="27"/>
      <c r="BM93" s="27" t="e">
        <f t="shared" si="73"/>
        <v>#N/A</v>
      </c>
      <c r="BN93" s="27" t="e">
        <f t="shared" si="74"/>
        <v>#N/A</v>
      </c>
      <c r="BO93" s="27" t="e">
        <f t="shared" si="75"/>
        <v>#N/A</v>
      </c>
      <c r="BP93" s="27"/>
      <c r="BQ93" s="27"/>
    </row>
    <row r="94" spans="1:69" x14ac:dyDescent="0.25">
      <c r="A94" s="128"/>
      <c r="B94" s="166"/>
      <c r="C94" s="144"/>
      <c r="D94" s="138" t="e">
        <f>VLOOKUP(G94,[1]!ModTbl,2,0)</f>
        <v>#N/A</v>
      </c>
      <c r="E94" s="138" t="e">
        <f>VLOOKUP(G94,[1]!ModTbl,3,0)</f>
        <v>#N/A</v>
      </c>
      <c r="F94" s="138" t="e">
        <f>VLOOKUP(G94,[1]!ModTbl,4,0)</f>
        <v>#N/A</v>
      </c>
      <c r="G94" s="145"/>
      <c r="H94" s="128"/>
      <c r="I94" s="128"/>
      <c r="J94" s="58" t="e">
        <f>VLOOKUP(G94,[1]!ModTbl,8,0)</f>
        <v>#N/A</v>
      </c>
      <c r="K94" s="58" t="e">
        <f>VLOOKUP(G94,[1]!ModTbl,9,0)</f>
        <v>#N/A</v>
      </c>
      <c r="L94" s="58" t="e">
        <f>VLOOKUP(G94,[1]!ModTbl,10,0)</f>
        <v>#N/A</v>
      </c>
      <c r="M94" s="58">
        <v>0</v>
      </c>
      <c r="N94" s="126" t="e">
        <f t="shared" si="40"/>
        <v>#N/A</v>
      </c>
      <c r="O94" s="126" t="e">
        <f t="shared" si="42"/>
        <v>#N/A</v>
      </c>
      <c r="P94" s="126" t="e">
        <f t="shared" si="43"/>
        <v>#N/A</v>
      </c>
      <c r="Q94" s="126" t="e">
        <f t="shared" si="44"/>
        <v>#N/A</v>
      </c>
      <c r="R94" s="126" t="e">
        <f t="shared" si="45"/>
        <v>#N/A</v>
      </c>
      <c r="S94" s="126" t="e">
        <f t="shared" si="46"/>
        <v>#N/A</v>
      </c>
      <c r="T94" s="126" t="e">
        <f t="shared" si="47"/>
        <v>#N/A</v>
      </c>
      <c r="U94" s="94" t="e">
        <f t="shared" si="48"/>
        <v>#N/A</v>
      </c>
      <c r="V94" s="94" t="e">
        <f t="shared" si="49"/>
        <v>#N/A</v>
      </c>
      <c r="W94" s="94" t="e">
        <f t="shared" si="50"/>
        <v>#N/A</v>
      </c>
      <c r="X94" s="94" t="e">
        <f t="shared" si="51"/>
        <v>#N/A</v>
      </c>
      <c r="Y94" s="95">
        <f t="shared" si="52"/>
        <v>0</v>
      </c>
      <c r="Z94" s="126" t="e">
        <f t="shared" si="53"/>
        <v>#N/A</v>
      </c>
      <c r="AA94" s="126" t="e">
        <f t="shared" si="54"/>
        <v>#N/A</v>
      </c>
      <c r="AB94" s="126" t="e">
        <f t="shared" si="55"/>
        <v>#N/A</v>
      </c>
      <c r="AC94" s="126" t="e">
        <f t="shared" si="56"/>
        <v>#N/A</v>
      </c>
      <c r="AD94" s="126"/>
      <c r="AE94" s="126"/>
      <c r="AF94" s="126"/>
      <c r="AG94" s="126"/>
      <c r="AH94" s="126"/>
      <c r="AI94" s="126">
        <f t="shared" si="41"/>
        <v>0</v>
      </c>
      <c r="AJ94" s="126"/>
      <c r="AK94" s="94" t="e">
        <f t="shared" si="57"/>
        <v>#N/A</v>
      </c>
      <c r="AL94" s="94" t="e">
        <f t="shared" si="58"/>
        <v>#N/A</v>
      </c>
      <c r="AM94" s="94" t="e">
        <f t="shared" si="59"/>
        <v>#N/A</v>
      </c>
      <c r="AN94" s="94" t="e">
        <f t="shared" si="60"/>
        <v>#N/A</v>
      </c>
      <c r="AO94" s="95">
        <f t="shared" si="61"/>
        <v>0</v>
      </c>
      <c r="AP94" s="126" t="e">
        <f t="shared" si="62"/>
        <v>#N/A</v>
      </c>
      <c r="AQ94" s="126" t="e">
        <f t="shared" si="63"/>
        <v>#N/A</v>
      </c>
      <c r="AR94" s="126" t="e">
        <f t="shared" si="64"/>
        <v>#N/A</v>
      </c>
      <c r="AS94" s="126" t="e">
        <f t="shared" si="65"/>
        <v>#N/A</v>
      </c>
      <c r="AT94" s="126">
        <v>0</v>
      </c>
      <c r="AU94" s="126"/>
      <c r="AV94" s="126"/>
      <c r="AW94" s="126"/>
      <c r="AX94" s="126"/>
      <c r="AY94" s="126">
        <f t="shared" si="66"/>
        <v>0</v>
      </c>
      <c r="AZ94" s="127"/>
      <c r="BA94" s="127"/>
      <c r="BB94" s="2"/>
      <c r="BC94" s="27" t="e">
        <f t="shared" si="67"/>
        <v>#N/A</v>
      </c>
      <c r="BD94" s="27" t="e">
        <f t="shared" si="68"/>
        <v>#N/A</v>
      </c>
      <c r="BE94" s="27"/>
      <c r="BF94" s="27">
        <f t="shared" si="69"/>
        <v>0</v>
      </c>
      <c r="BG94" s="27"/>
      <c r="BH94" s="27" t="e">
        <f t="shared" si="70"/>
        <v>#N/A</v>
      </c>
      <c r="BI94" s="27" t="e">
        <f t="shared" si="71"/>
        <v>#N/A</v>
      </c>
      <c r="BJ94" s="27" t="e">
        <f t="shared" si="72"/>
        <v>#N/A</v>
      </c>
      <c r="BK94" s="27"/>
      <c r="BL94" s="27"/>
      <c r="BM94" s="27" t="e">
        <f t="shared" si="73"/>
        <v>#N/A</v>
      </c>
      <c r="BN94" s="27" t="e">
        <f t="shared" si="74"/>
        <v>#N/A</v>
      </c>
      <c r="BO94" s="27" t="e">
        <f t="shared" si="75"/>
        <v>#N/A</v>
      </c>
      <c r="BP94" s="27"/>
      <c r="BQ94" s="27"/>
    </row>
    <row r="95" spans="1:69" x14ac:dyDescent="0.25">
      <c r="A95" s="128"/>
      <c r="B95" s="166"/>
      <c r="C95" s="144"/>
      <c r="D95" s="138" t="e">
        <f>VLOOKUP(G95,[1]!ModTbl,2,0)</f>
        <v>#N/A</v>
      </c>
      <c r="E95" s="138" t="e">
        <f>VLOOKUP(G95,[1]!ModTbl,3,0)</f>
        <v>#N/A</v>
      </c>
      <c r="F95" s="138" t="e">
        <f>VLOOKUP(G95,[1]!ModTbl,4,0)</f>
        <v>#N/A</v>
      </c>
      <c r="G95" s="145"/>
      <c r="H95" s="128"/>
      <c r="I95" s="128"/>
      <c r="J95" s="58" t="e">
        <f>VLOOKUP(G95,[1]!ModTbl,8,0)</f>
        <v>#N/A</v>
      </c>
      <c r="K95" s="58" t="e">
        <f>VLOOKUP(G95,[1]!ModTbl,9,0)</f>
        <v>#N/A</v>
      </c>
      <c r="L95" s="58" t="e">
        <f>VLOOKUP(G95,[1]!ModTbl,10,0)</f>
        <v>#N/A</v>
      </c>
      <c r="M95" s="58">
        <v>0</v>
      </c>
      <c r="N95" s="126" t="e">
        <f t="shared" si="40"/>
        <v>#N/A</v>
      </c>
      <c r="O95" s="126" t="e">
        <f t="shared" si="42"/>
        <v>#N/A</v>
      </c>
      <c r="P95" s="126" t="e">
        <f t="shared" si="43"/>
        <v>#N/A</v>
      </c>
      <c r="Q95" s="126" t="e">
        <f t="shared" si="44"/>
        <v>#N/A</v>
      </c>
      <c r="R95" s="126" t="e">
        <f t="shared" si="45"/>
        <v>#N/A</v>
      </c>
      <c r="S95" s="126" t="e">
        <f t="shared" si="46"/>
        <v>#N/A</v>
      </c>
      <c r="T95" s="126" t="e">
        <f t="shared" si="47"/>
        <v>#N/A</v>
      </c>
      <c r="U95" s="94" t="e">
        <f t="shared" si="48"/>
        <v>#N/A</v>
      </c>
      <c r="V95" s="94" t="e">
        <f t="shared" si="49"/>
        <v>#N/A</v>
      </c>
      <c r="W95" s="94" t="e">
        <f t="shared" si="50"/>
        <v>#N/A</v>
      </c>
      <c r="X95" s="94" t="e">
        <f t="shared" si="51"/>
        <v>#N/A</v>
      </c>
      <c r="Y95" s="95">
        <f t="shared" si="52"/>
        <v>0</v>
      </c>
      <c r="Z95" s="126" t="e">
        <f t="shared" si="53"/>
        <v>#N/A</v>
      </c>
      <c r="AA95" s="126" t="e">
        <f t="shared" si="54"/>
        <v>#N/A</v>
      </c>
      <c r="AB95" s="126" t="e">
        <f t="shared" si="55"/>
        <v>#N/A</v>
      </c>
      <c r="AC95" s="126" t="e">
        <f t="shared" si="56"/>
        <v>#N/A</v>
      </c>
      <c r="AD95" s="126"/>
      <c r="AE95" s="126"/>
      <c r="AF95" s="126"/>
      <c r="AG95" s="126"/>
      <c r="AH95" s="126"/>
      <c r="AI95" s="126">
        <f t="shared" si="41"/>
        <v>0</v>
      </c>
      <c r="AJ95" s="126"/>
      <c r="AK95" s="94" t="e">
        <f t="shared" si="57"/>
        <v>#N/A</v>
      </c>
      <c r="AL95" s="94" t="e">
        <f t="shared" si="58"/>
        <v>#N/A</v>
      </c>
      <c r="AM95" s="94" t="e">
        <f t="shared" si="59"/>
        <v>#N/A</v>
      </c>
      <c r="AN95" s="94" t="e">
        <f t="shared" si="60"/>
        <v>#N/A</v>
      </c>
      <c r="AO95" s="95">
        <f t="shared" si="61"/>
        <v>0</v>
      </c>
      <c r="AP95" s="126" t="e">
        <f t="shared" si="62"/>
        <v>#N/A</v>
      </c>
      <c r="AQ95" s="126" t="e">
        <f t="shared" si="63"/>
        <v>#N/A</v>
      </c>
      <c r="AR95" s="126" t="e">
        <f t="shared" si="64"/>
        <v>#N/A</v>
      </c>
      <c r="AS95" s="126" t="e">
        <f t="shared" si="65"/>
        <v>#N/A</v>
      </c>
      <c r="AT95" s="126">
        <v>0</v>
      </c>
      <c r="AU95" s="126"/>
      <c r="AV95" s="126"/>
      <c r="AW95" s="126"/>
      <c r="AX95" s="126"/>
      <c r="AY95" s="126">
        <f t="shared" si="66"/>
        <v>0</v>
      </c>
      <c r="AZ95" s="127"/>
      <c r="BA95" s="127"/>
      <c r="BB95" s="2"/>
      <c r="BC95" s="27" t="e">
        <f t="shared" si="67"/>
        <v>#N/A</v>
      </c>
      <c r="BD95" s="27" t="e">
        <f t="shared" si="68"/>
        <v>#N/A</v>
      </c>
      <c r="BE95" s="27"/>
      <c r="BF95" s="27">
        <f t="shared" si="69"/>
        <v>0</v>
      </c>
      <c r="BG95" s="27"/>
      <c r="BH95" s="27" t="e">
        <f t="shared" si="70"/>
        <v>#N/A</v>
      </c>
      <c r="BI95" s="27" t="e">
        <f t="shared" si="71"/>
        <v>#N/A</v>
      </c>
      <c r="BJ95" s="27" t="e">
        <f t="shared" si="72"/>
        <v>#N/A</v>
      </c>
      <c r="BK95" s="27"/>
      <c r="BL95" s="27"/>
      <c r="BM95" s="27" t="e">
        <f t="shared" si="73"/>
        <v>#N/A</v>
      </c>
      <c r="BN95" s="27" t="e">
        <f t="shared" si="74"/>
        <v>#N/A</v>
      </c>
      <c r="BO95" s="27" t="e">
        <f t="shared" si="75"/>
        <v>#N/A</v>
      </c>
      <c r="BP95" s="27"/>
      <c r="BQ95" s="27"/>
    </row>
    <row r="96" spans="1:69" x14ac:dyDescent="0.25">
      <c r="A96" s="128"/>
      <c r="B96" s="166"/>
      <c r="C96" s="144"/>
      <c r="D96" s="138" t="e">
        <f>VLOOKUP(G96,[1]!ModTbl,2,0)</f>
        <v>#N/A</v>
      </c>
      <c r="E96" s="138" t="e">
        <f>VLOOKUP(G96,[1]!ModTbl,3,0)</f>
        <v>#N/A</v>
      </c>
      <c r="F96" s="138" t="e">
        <f>VLOOKUP(G96,[1]!ModTbl,4,0)</f>
        <v>#N/A</v>
      </c>
      <c r="G96" s="145"/>
      <c r="H96" s="128"/>
      <c r="I96" s="128"/>
      <c r="J96" s="58" t="e">
        <f>VLOOKUP(G96,[1]!ModTbl,8,0)</f>
        <v>#N/A</v>
      </c>
      <c r="K96" s="58" t="e">
        <f>VLOOKUP(G96,[1]!ModTbl,9,0)</f>
        <v>#N/A</v>
      </c>
      <c r="L96" s="58" t="e">
        <f>VLOOKUP(G96,[1]!ModTbl,10,0)</f>
        <v>#N/A</v>
      </c>
      <c r="M96" s="58">
        <v>0</v>
      </c>
      <c r="N96" s="126" t="e">
        <f t="shared" ref="N96:N98" si="76">SUM(J96:L96)</f>
        <v>#N/A</v>
      </c>
      <c r="O96" s="126" t="e">
        <f t="shared" si="42"/>
        <v>#N/A</v>
      </c>
      <c r="P96" s="126" t="e">
        <f t="shared" si="43"/>
        <v>#N/A</v>
      </c>
      <c r="Q96" s="126" t="e">
        <f t="shared" si="44"/>
        <v>#N/A</v>
      </c>
      <c r="R96" s="126" t="e">
        <f t="shared" si="45"/>
        <v>#N/A</v>
      </c>
      <c r="S96" s="126" t="e">
        <f t="shared" si="46"/>
        <v>#N/A</v>
      </c>
      <c r="T96" s="126" t="e">
        <f t="shared" si="47"/>
        <v>#N/A</v>
      </c>
      <c r="U96" s="94" t="e">
        <f t="shared" si="48"/>
        <v>#N/A</v>
      </c>
      <c r="V96" s="94" t="e">
        <f t="shared" si="49"/>
        <v>#N/A</v>
      </c>
      <c r="W96" s="94" t="e">
        <f t="shared" si="50"/>
        <v>#N/A</v>
      </c>
      <c r="X96" s="94" t="e">
        <f t="shared" si="51"/>
        <v>#N/A</v>
      </c>
      <c r="Y96" s="95">
        <f t="shared" si="52"/>
        <v>0</v>
      </c>
      <c r="Z96" s="126" t="e">
        <f t="shared" si="53"/>
        <v>#N/A</v>
      </c>
      <c r="AA96" s="126" t="e">
        <f t="shared" si="54"/>
        <v>#N/A</v>
      </c>
      <c r="AB96" s="126" t="e">
        <f t="shared" si="55"/>
        <v>#N/A</v>
      </c>
      <c r="AC96" s="126" t="e">
        <f t="shared" si="56"/>
        <v>#N/A</v>
      </c>
      <c r="AD96" s="126"/>
      <c r="AE96" s="126"/>
      <c r="AF96" s="126"/>
      <c r="AG96" s="126"/>
      <c r="AH96" s="126"/>
      <c r="AI96" s="126">
        <f t="shared" ref="AI96:AI98" si="77">SUM(AE96:AH96)</f>
        <v>0</v>
      </c>
      <c r="AJ96" s="126"/>
      <c r="AK96" s="94" t="e">
        <f t="shared" si="57"/>
        <v>#N/A</v>
      </c>
      <c r="AL96" s="94" t="e">
        <f t="shared" si="58"/>
        <v>#N/A</v>
      </c>
      <c r="AM96" s="94" t="e">
        <f t="shared" si="59"/>
        <v>#N/A</v>
      </c>
      <c r="AN96" s="94" t="e">
        <f t="shared" si="60"/>
        <v>#N/A</v>
      </c>
      <c r="AO96" s="95">
        <f t="shared" si="61"/>
        <v>0</v>
      </c>
      <c r="AP96" s="126" t="e">
        <f t="shared" si="62"/>
        <v>#N/A</v>
      </c>
      <c r="AQ96" s="126" t="e">
        <f t="shared" si="63"/>
        <v>#N/A</v>
      </c>
      <c r="AR96" s="126" t="e">
        <f t="shared" si="64"/>
        <v>#N/A</v>
      </c>
      <c r="AS96" s="126" t="e">
        <f t="shared" si="65"/>
        <v>#N/A</v>
      </c>
      <c r="AT96" s="126">
        <v>0</v>
      </c>
      <c r="AU96" s="126"/>
      <c r="AV96" s="126"/>
      <c r="AW96" s="126"/>
      <c r="AX96" s="126"/>
      <c r="AY96" s="126">
        <f t="shared" si="66"/>
        <v>0</v>
      </c>
      <c r="AZ96" s="127"/>
      <c r="BA96" s="127"/>
      <c r="BB96" s="2"/>
      <c r="BC96" s="27" t="e">
        <f t="shared" si="67"/>
        <v>#N/A</v>
      </c>
      <c r="BD96" s="27" t="e">
        <f t="shared" si="68"/>
        <v>#N/A</v>
      </c>
      <c r="BE96" s="27"/>
      <c r="BF96" s="27">
        <f t="shared" si="69"/>
        <v>0</v>
      </c>
      <c r="BG96" s="27"/>
      <c r="BH96" s="27" t="e">
        <f t="shared" si="70"/>
        <v>#N/A</v>
      </c>
      <c r="BI96" s="27" t="e">
        <f t="shared" si="71"/>
        <v>#N/A</v>
      </c>
      <c r="BJ96" s="27" t="e">
        <f t="shared" si="72"/>
        <v>#N/A</v>
      </c>
      <c r="BK96" s="27"/>
      <c r="BL96" s="27"/>
      <c r="BM96" s="27" t="e">
        <f t="shared" si="73"/>
        <v>#N/A</v>
      </c>
      <c r="BN96" s="27" t="e">
        <f t="shared" si="74"/>
        <v>#N/A</v>
      </c>
      <c r="BO96" s="27" t="e">
        <f t="shared" si="75"/>
        <v>#N/A</v>
      </c>
      <c r="BP96" s="27"/>
      <c r="BQ96" s="27"/>
    </row>
    <row r="97" spans="1:69" x14ac:dyDescent="0.25">
      <c r="A97" s="128"/>
      <c r="B97" s="166"/>
      <c r="C97" s="144"/>
      <c r="D97" s="138" t="e">
        <f>VLOOKUP(G97,[1]!ModTbl,2,0)</f>
        <v>#N/A</v>
      </c>
      <c r="E97" s="138" t="e">
        <f>VLOOKUP(G97,[1]!ModTbl,3,0)</f>
        <v>#N/A</v>
      </c>
      <c r="F97" s="138" t="e">
        <f>VLOOKUP(G97,[1]!ModTbl,4,0)</f>
        <v>#N/A</v>
      </c>
      <c r="G97" s="145"/>
      <c r="H97" s="128"/>
      <c r="I97" s="128"/>
      <c r="J97" s="58" t="e">
        <f>VLOOKUP(G97,[1]!ModTbl,8,0)</f>
        <v>#N/A</v>
      </c>
      <c r="K97" s="58" t="e">
        <f>VLOOKUP(G97,[1]!ModTbl,9,0)</f>
        <v>#N/A</v>
      </c>
      <c r="L97" s="58" t="e">
        <f>VLOOKUP(G97,[1]!ModTbl,10,0)</f>
        <v>#N/A</v>
      </c>
      <c r="M97" s="58">
        <v>0</v>
      </c>
      <c r="N97" s="126" t="e">
        <f t="shared" si="76"/>
        <v>#N/A</v>
      </c>
      <c r="O97" s="126" t="e">
        <f t="shared" si="42"/>
        <v>#N/A</v>
      </c>
      <c r="P97" s="126" t="e">
        <f t="shared" si="43"/>
        <v>#N/A</v>
      </c>
      <c r="Q97" s="126" t="e">
        <f t="shared" si="44"/>
        <v>#N/A</v>
      </c>
      <c r="R97" s="126" t="e">
        <f t="shared" si="45"/>
        <v>#N/A</v>
      </c>
      <c r="S97" s="126" t="e">
        <f t="shared" si="46"/>
        <v>#N/A</v>
      </c>
      <c r="T97" s="126" t="e">
        <f t="shared" si="47"/>
        <v>#N/A</v>
      </c>
      <c r="U97" s="94" t="e">
        <f t="shared" si="48"/>
        <v>#N/A</v>
      </c>
      <c r="V97" s="94" t="e">
        <f t="shared" si="49"/>
        <v>#N/A</v>
      </c>
      <c r="W97" s="94" t="e">
        <f t="shared" si="50"/>
        <v>#N/A</v>
      </c>
      <c r="X97" s="94" t="e">
        <f t="shared" si="51"/>
        <v>#N/A</v>
      </c>
      <c r="Y97" s="95">
        <f t="shared" si="52"/>
        <v>0</v>
      </c>
      <c r="Z97" s="126" t="e">
        <f t="shared" si="53"/>
        <v>#N/A</v>
      </c>
      <c r="AA97" s="126" t="e">
        <f t="shared" si="54"/>
        <v>#N/A</v>
      </c>
      <c r="AB97" s="126" t="e">
        <f t="shared" si="55"/>
        <v>#N/A</v>
      </c>
      <c r="AC97" s="126" t="e">
        <f t="shared" si="56"/>
        <v>#N/A</v>
      </c>
      <c r="AD97" s="126"/>
      <c r="AE97" s="126"/>
      <c r="AF97" s="126"/>
      <c r="AG97" s="126"/>
      <c r="AH97" s="126"/>
      <c r="AI97" s="126">
        <f t="shared" si="77"/>
        <v>0</v>
      </c>
      <c r="AJ97" s="126"/>
      <c r="AK97" s="94" t="e">
        <f t="shared" si="57"/>
        <v>#N/A</v>
      </c>
      <c r="AL97" s="94" t="e">
        <f t="shared" si="58"/>
        <v>#N/A</v>
      </c>
      <c r="AM97" s="94" t="e">
        <f t="shared" si="59"/>
        <v>#N/A</v>
      </c>
      <c r="AN97" s="94" t="e">
        <f t="shared" si="60"/>
        <v>#N/A</v>
      </c>
      <c r="AO97" s="95">
        <f t="shared" si="61"/>
        <v>0</v>
      </c>
      <c r="AP97" s="126" t="e">
        <f t="shared" si="62"/>
        <v>#N/A</v>
      </c>
      <c r="AQ97" s="126" t="e">
        <f t="shared" si="63"/>
        <v>#N/A</v>
      </c>
      <c r="AR97" s="126" t="e">
        <f t="shared" si="64"/>
        <v>#N/A</v>
      </c>
      <c r="AS97" s="126" t="e">
        <f t="shared" si="65"/>
        <v>#N/A</v>
      </c>
      <c r="AT97" s="126">
        <v>0</v>
      </c>
      <c r="AU97" s="126"/>
      <c r="AV97" s="126"/>
      <c r="AW97" s="126"/>
      <c r="AX97" s="126"/>
      <c r="AY97" s="126">
        <f t="shared" si="66"/>
        <v>0</v>
      </c>
      <c r="AZ97" s="127"/>
      <c r="BA97" s="127"/>
      <c r="BB97" s="2"/>
      <c r="BC97" s="27" t="e">
        <f t="shared" si="67"/>
        <v>#N/A</v>
      </c>
      <c r="BD97" s="27" t="e">
        <f t="shared" si="68"/>
        <v>#N/A</v>
      </c>
      <c r="BE97" s="27"/>
      <c r="BF97" s="27">
        <f t="shared" si="69"/>
        <v>0</v>
      </c>
      <c r="BG97" s="27"/>
      <c r="BH97" s="27" t="e">
        <f t="shared" si="70"/>
        <v>#N/A</v>
      </c>
      <c r="BI97" s="27" t="e">
        <f t="shared" si="71"/>
        <v>#N/A</v>
      </c>
      <c r="BJ97" s="27" t="e">
        <f t="shared" si="72"/>
        <v>#N/A</v>
      </c>
      <c r="BK97" s="27"/>
      <c r="BL97" s="27"/>
      <c r="BM97" s="27" t="e">
        <f t="shared" si="73"/>
        <v>#N/A</v>
      </c>
      <c r="BN97" s="27" t="e">
        <f t="shared" si="74"/>
        <v>#N/A</v>
      </c>
      <c r="BO97" s="27" t="e">
        <f t="shared" si="75"/>
        <v>#N/A</v>
      </c>
      <c r="BP97" s="27"/>
      <c r="BQ97" s="27"/>
    </row>
    <row r="98" spans="1:69" x14ac:dyDescent="0.25">
      <c r="A98" s="128"/>
      <c r="B98" s="166"/>
      <c r="C98" s="126"/>
      <c r="D98" s="57" t="e">
        <f>VLOOKUP(G98,[1]!ModTbl,2,0)</f>
        <v>#N/A</v>
      </c>
      <c r="E98" s="57" t="e">
        <f>VLOOKUP(G98,[1]!ModTbl,3,0)</f>
        <v>#N/A</v>
      </c>
      <c r="F98" s="57" t="e">
        <f>VLOOKUP(G98,[1]!ModTbl,4,0)</f>
        <v>#N/A</v>
      </c>
      <c r="G98" s="25"/>
      <c r="H98" s="128"/>
      <c r="I98" s="128"/>
      <c r="J98" s="58" t="e">
        <f>VLOOKUP(G98,[1]!ModTbl,8,0)</f>
        <v>#N/A</v>
      </c>
      <c r="K98" s="58" t="e">
        <f>VLOOKUP(G98,[1]!ModTbl,9,0)</f>
        <v>#N/A</v>
      </c>
      <c r="L98" s="58" t="e">
        <f>VLOOKUP(G98,[1]!ModTbl,10,0)</f>
        <v>#N/A</v>
      </c>
      <c r="M98" s="58">
        <v>0</v>
      </c>
      <c r="N98" s="126" t="e">
        <f t="shared" si="76"/>
        <v>#N/A</v>
      </c>
      <c r="O98" s="126" t="e">
        <f t="shared" si="42"/>
        <v>#N/A</v>
      </c>
      <c r="P98" s="126" t="e">
        <f t="shared" si="43"/>
        <v>#N/A</v>
      </c>
      <c r="Q98" s="126" t="e">
        <f t="shared" si="44"/>
        <v>#N/A</v>
      </c>
      <c r="R98" s="126" t="e">
        <f t="shared" si="45"/>
        <v>#N/A</v>
      </c>
      <c r="S98" s="126" t="e">
        <f t="shared" si="46"/>
        <v>#N/A</v>
      </c>
      <c r="T98" s="126" t="e">
        <f t="shared" si="47"/>
        <v>#N/A</v>
      </c>
      <c r="U98" s="94" t="e">
        <f t="shared" si="48"/>
        <v>#N/A</v>
      </c>
      <c r="V98" s="94" t="e">
        <f t="shared" si="49"/>
        <v>#N/A</v>
      </c>
      <c r="W98" s="94" t="e">
        <f t="shared" si="50"/>
        <v>#N/A</v>
      </c>
      <c r="X98" s="94" t="e">
        <f t="shared" si="51"/>
        <v>#N/A</v>
      </c>
      <c r="Y98" s="95">
        <f t="shared" si="52"/>
        <v>0</v>
      </c>
      <c r="Z98" s="126" t="e">
        <f t="shared" si="53"/>
        <v>#N/A</v>
      </c>
      <c r="AA98" s="126" t="e">
        <f t="shared" si="54"/>
        <v>#N/A</v>
      </c>
      <c r="AB98" s="126" t="e">
        <f t="shared" si="55"/>
        <v>#N/A</v>
      </c>
      <c r="AC98" s="126" t="e">
        <f t="shared" si="56"/>
        <v>#N/A</v>
      </c>
      <c r="AD98" s="126"/>
      <c r="AE98" s="126"/>
      <c r="AF98" s="126"/>
      <c r="AG98" s="126"/>
      <c r="AH98" s="126"/>
      <c r="AI98" s="126">
        <f t="shared" si="77"/>
        <v>0</v>
      </c>
      <c r="AJ98" s="126"/>
      <c r="AK98" s="94" t="e">
        <f t="shared" si="57"/>
        <v>#N/A</v>
      </c>
      <c r="AL98" s="94" t="e">
        <f t="shared" si="58"/>
        <v>#N/A</v>
      </c>
      <c r="AM98" s="94" t="e">
        <f t="shared" si="59"/>
        <v>#N/A</v>
      </c>
      <c r="AN98" s="94" t="e">
        <f t="shared" si="60"/>
        <v>#N/A</v>
      </c>
      <c r="AO98" s="95">
        <f t="shared" si="61"/>
        <v>0</v>
      </c>
      <c r="AP98" s="126" t="e">
        <f t="shared" si="62"/>
        <v>#N/A</v>
      </c>
      <c r="AQ98" s="126" t="e">
        <f t="shared" si="63"/>
        <v>#N/A</v>
      </c>
      <c r="AR98" s="126" t="e">
        <f t="shared" si="64"/>
        <v>#N/A</v>
      </c>
      <c r="AS98" s="126" t="e">
        <f t="shared" si="65"/>
        <v>#N/A</v>
      </c>
      <c r="AT98" s="126">
        <v>0</v>
      </c>
      <c r="AU98" s="126"/>
      <c r="AV98" s="126"/>
      <c r="AW98" s="126"/>
      <c r="AX98" s="126"/>
      <c r="AY98" s="126">
        <f t="shared" si="66"/>
        <v>0</v>
      </c>
      <c r="AZ98" s="127"/>
      <c r="BA98" s="127"/>
      <c r="BB98" s="2"/>
      <c r="BC98" s="27" t="e">
        <f t="shared" si="67"/>
        <v>#N/A</v>
      </c>
      <c r="BD98" s="27" t="e">
        <f t="shared" si="68"/>
        <v>#N/A</v>
      </c>
      <c r="BE98" s="27"/>
      <c r="BF98" s="27">
        <f t="shared" si="69"/>
        <v>0</v>
      </c>
      <c r="BG98" s="27"/>
      <c r="BH98" s="27" t="e">
        <f t="shared" si="70"/>
        <v>#N/A</v>
      </c>
      <c r="BI98" s="27" t="e">
        <f t="shared" si="71"/>
        <v>#N/A</v>
      </c>
      <c r="BJ98" s="27" t="e">
        <f t="shared" si="72"/>
        <v>#N/A</v>
      </c>
      <c r="BK98" s="27"/>
      <c r="BL98" s="27"/>
      <c r="BM98" s="27" t="e">
        <f t="shared" si="73"/>
        <v>#N/A</v>
      </c>
      <c r="BN98" s="27" t="e">
        <f t="shared" si="74"/>
        <v>#N/A</v>
      </c>
      <c r="BO98" s="27" t="e">
        <f t="shared" si="75"/>
        <v>#N/A</v>
      </c>
      <c r="BP98" s="27"/>
      <c r="BQ98" s="27"/>
    </row>
    <row r="99" spans="1:69" x14ac:dyDescent="0.25">
      <c r="A99" s="128"/>
      <c r="B99" s="166"/>
      <c r="C99" s="126"/>
      <c r="D99" s="57" t="e">
        <f>VLOOKUP(G99,[1]!ModTbl,2,0)</f>
        <v>#N/A</v>
      </c>
      <c r="E99" s="57" t="e">
        <f>VLOOKUP(G99,[1]!ModTbl,3,0)</f>
        <v>#N/A</v>
      </c>
      <c r="F99" s="57" t="e">
        <f>VLOOKUP(G99,[1]!ModTbl,4,0)</f>
        <v>#N/A</v>
      </c>
      <c r="G99" s="25"/>
      <c r="H99" s="128"/>
      <c r="I99" s="128"/>
      <c r="J99" s="58" t="e">
        <f>VLOOKUP(G99,[1]!ModTbl,8,0)</f>
        <v>#N/A</v>
      </c>
      <c r="K99" s="58" t="e">
        <f>VLOOKUP(G99,[1]!ModTbl,9,0)</f>
        <v>#N/A</v>
      </c>
      <c r="L99" s="58" t="e">
        <f>VLOOKUP(G99,[1]!ModTbl,10,0)</f>
        <v>#N/A</v>
      </c>
      <c r="M99" s="58">
        <v>0</v>
      </c>
      <c r="N99" s="126" t="e">
        <f t="shared" ref="N99:N120" si="78">SUM(J99:L99)</f>
        <v>#N/A</v>
      </c>
      <c r="O99" s="126" t="e">
        <f t="shared" si="42"/>
        <v>#N/A</v>
      </c>
      <c r="P99" s="126" t="e">
        <f t="shared" si="43"/>
        <v>#N/A</v>
      </c>
      <c r="Q99" s="126" t="e">
        <f t="shared" si="44"/>
        <v>#N/A</v>
      </c>
      <c r="R99" s="126" t="e">
        <f t="shared" si="45"/>
        <v>#N/A</v>
      </c>
      <c r="S99" s="126" t="e">
        <f t="shared" si="46"/>
        <v>#N/A</v>
      </c>
      <c r="T99" s="126" t="e">
        <f t="shared" si="47"/>
        <v>#N/A</v>
      </c>
      <c r="U99" s="94" t="e">
        <f t="shared" si="48"/>
        <v>#N/A</v>
      </c>
      <c r="V99" s="94" t="e">
        <f t="shared" si="49"/>
        <v>#N/A</v>
      </c>
      <c r="W99" s="94" t="e">
        <f t="shared" si="50"/>
        <v>#N/A</v>
      </c>
      <c r="X99" s="94" t="e">
        <f t="shared" si="51"/>
        <v>#N/A</v>
      </c>
      <c r="Y99" s="95">
        <f t="shared" si="52"/>
        <v>0</v>
      </c>
      <c r="Z99" s="126" t="e">
        <f t="shared" si="53"/>
        <v>#N/A</v>
      </c>
      <c r="AA99" s="126" t="e">
        <f t="shared" si="54"/>
        <v>#N/A</v>
      </c>
      <c r="AB99" s="126" t="e">
        <f t="shared" si="55"/>
        <v>#N/A</v>
      </c>
      <c r="AC99" s="126" t="e">
        <f t="shared" si="56"/>
        <v>#N/A</v>
      </c>
      <c r="AD99" s="126"/>
      <c r="AE99" s="126"/>
      <c r="AF99" s="126"/>
      <c r="AG99" s="126"/>
      <c r="AH99" s="126"/>
      <c r="AI99" s="126">
        <f t="shared" ref="AI99:AI120" si="79">SUM(AE99:AH99)</f>
        <v>0</v>
      </c>
      <c r="AJ99" s="126"/>
      <c r="AK99" s="94" t="e">
        <f t="shared" si="57"/>
        <v>#N/A</v>
      </c>
      <c r="AL99" s="94" t="e">
        <f t="shared" si="58"/>
        <v>#N/A</v>
      </c>
      <c r="AM99" s="94" t="e">
        <f t="shared" si="59"/>
        <v>#N/A</v>
      </c>
      <c r="AN99" s="94" t="e">
        <f t="shared" si="60"/>
        <v>#N/A</v>
      </c>
      <c r="AO99" s="95">
        <f t="shared" si="61"/>
        <v>0</v>
      </c>
      <c r="AP99" s="126" t="e">
        <f t="shared" si="62"/>
        <v>#N/A</v>
      </c>
      <c r="AQ99" s="126" t="e">
        <f t="shared" si="63"/>
        <v>#N/A</v>
      </c>
      <c r="AR99" s="126" t="e">
        <f t="shared" si="64"/>
        <v>#N/A</v>
      </c>
      <c r="AS99" s="126" t="e">
        <f t="shared" si="65"/>
        <v>#N/A</v>
      </c>
      <c r="AT99" s="126">
        <v>0</v>
      </c>
      <c r="AU99" s="126"/>
      <c r="AV99" s="126"/>
      <c r="AW99" s="126"/>
      <c r="AX99" s="126"/>
      <c r="AY99" s="126">
        <f t="shared" si="66"/>
        <v>0</v>
      </c>
      <c r="AZ99" s="127"/>
      <c r="BA99" s="127"/>
      <c r="BB99" s="2"/>
      <c r="BC99" s="27" t="e">
        <f t="shared" si="67"/>
        <v>#N/A</v>
      </c>
      <c r="BD99" s="27" t="e">
        <f t="shared" si="68"/>
        <v>#N/A</v>
      </c>
      <c r="BE99" s="27"/>
      <c r="BF99" s="27">
        <f t="shared" si="69"/>
        <v>0</v>
      </c>
      <c r="BG99" s="27"/>
      <c r="BH99" s="27" t="e">
        <f t="shared" si="70"/>
        <v>#N/A</v>
      </c>
      <c r="BI99" s="27" t="e">
        <f t="shared" si="71"/>
        <v>#N/A</v>
      </c>
      <c r="BJ99" s="27" t="e">
        <f t="shared" si="72"/>
        <v>#N/A</v>
      </c>
      <c r="BK99" s="27"/>
      <c r="BL99" s="27"/>
      <c r="BM99" s="27" t="e">
        <f t="shared" si="73"/>
        <v>#N/A</v>
      </c>
      <c r="BN99" s="27" t="e">
        <f t="shared" si="74"/>
        <v>#N/A</v>
      </c>
      <c r="BO99" s="27" t="e">
        <f t="shared" si="75"/>
        <v>#N/A</v>
      </c>
      <c r="BP99" s="27"/>
      <c r="BQ99" s="27"/>
    </row>
    <row r="100" spans="1:69" x14ac:dyDescent="0.25">
      <c r="A100" s="128"/>
      <c r="B100" s="166"/>
      <c r="C100" s="144"/>
      <c r="D100" s="138" t="e">
        <f>VLOOKUP(G100,[1]!ModTbl,2,0)</f>
        <v>#N/A</v>
      </c>
      <c r="E100" s="138" t="e">
        <f>VLOOKUP(G100,[1]!ModTbl,3,0)</f>
        <v>#N/A</v>
      </c>
      <c r="F100" s="138" t="e">
        <f>VLOOKUP(G100,[1]!ModTbl,4,0)</f>
        <v>#N/A</v>
      </c>
      <c r="G100" s="145"/>
      <c r="H100" s="128"/>
      <c r="I100" s="128"/>
      <c r="J100" s="58" t="e">
        <f>VLOOKUP(G100,[1]!ModTbl,8,0)</f>
        <v>#N/A</v>
      </c>
      <c r="K100" s="58" t="e">
        <f>VLOOKUP(G100,[1]!ModTbl,9,0)</f>
        <v>#N/A</v>
      </c>
      <c r="L100" s="58" t="e">
        <f>VLOOKUP(G100,[1]!ModTbl,10,0)</f>
        <v>#N/A</v>
      </c>
      <c r="M100" s="58">
        <v>0</v>
      </c>
      <c r="N100" s="126" t="e">
        <f t="shared" si="78"/>
        <v>#N/A</v>
      </c>
      <c r="O100" s="126" t="e">
        <f t="shared" si="42"/>
        <v>#N/A</v>
      </c>
      <c r="P100" s="126" t="e">
        <f t="shared" si="43"/>
        <v>#N/A</v>
      </c>
      <c r="Q100" s="126" t="e">
        <f t="shared" si="44"/>
        <v>#N/A</v>
      </c>
      <c r="R100" s="126" t="e">
        <f t="shared" si="45"/>
        <v>#N/A</v>
      </c>
      <c r="S100" s="126" t="e">
        <f t="shared" si="46"/>
        <v>#N/A</v>
      </c>
      <c r="T100" s="126" t="e">
        <f t="shared" si="47"/>
        <v>#N/A</v>
      </c>
      <c r="U100" s="94" t="e">
        <f t="shared" si="48"/>
        <v>#N/A</v>
      </c>
      <c r="V100" s="94" t="e">
        <f t="shared" si="49"/>
        <v>#N/A</v>
      </c>
      <c r="W100" s="94" t="e">
        <f t="shared" si="50"/>
        <v>#N/A</v>
      </c>
      <c r="X100" s="94" t="e">
        <f t="shared" si="51"/>
        <v>#N/A</v>
      </c>
      <c r="Y100" s="95">
        <f t="shared" si="52"/>
        <v>0</v>
      </c>
      <c r="Z100" s="126" t="e">
        <f t="shared" si="53"/>
        <v>#N/A</v>
      </c>
      <c r="AA100" s="126" t="e">
        <f t="shared" si="54"/>
        <v>#N/A</v>
      </c>
      <c r="AB100" s="126" t="e">
        <f t="shared" si="55"/>
        <v>#N/A</v>
      </c>
      <c r="AC100" s="126" t="e">
        <f t="shared" si="56"/>
        <v>#N/A</v>
      </c>
      <c r="AD100" s="126"/>
      <c r="AE100" s="126"/>
      <c r="AF100" s="126"/>
      <c r="AG100" s="126"/>
      <c r="AH100" s="126"/>
      <c r="AI100" s="126">
        <f t="shared" si="79"/>
        <v>0</v>
      </c>
      <c r="AJ100" s="126"/>
      <c r="AK100" s="94" t="e">
        <f t="shared" si="57"/>
        <v>#N/A</v>
      </c>
      <c r="AL100" s="94" t="e">
        <f t="shared" si="58"/>
        <v>#N/A</v>
      </c>
      <c r="AM100" s="94" t="e">
        <f t="shared" si="59"/>
        <v>#N/A</v>
      </c>
      <c r="AN100" s="94" t="e">
        <f t="shared" si="60"/>
        <v>#N/A</v>
      </c>
      <c r="AO100" s="95">
        <f t="shared" si="61"/>
        <v>0</v>
      </c>
      <c r="AP100" s="126" t="e">
        <f t="shared" si="62"/>
        <v>#N/A</v>
      </c>
      <c r="AQ100" s="126" t="e">
        <f t="shared" si="63"/>
        <v>#N/A</v>
      </c>
      <c r="AR100" s="126" t="e">
        <f t="shared" si="64"/>
        <v>#N/A</v>
      </c>
      <c r="AS100" s="126" t="e">
        <f t="shared" si="65"/>
        <v>#N/A</v>
      </c>
      <c r="AT100" s="126">
        <v>0</v>
      </c>
      <c r="AU100" s="126"/>
      <c r="AV100" s="126"/>
      <c r="AW100" s="126"/>
      <c r="AX100" s="126"/>
      <c r="AY100" s="126">
        <f t="shared" si="66"/>
        <v>0</v>
      </c>
      <c r="AZ100" s="127"/>
      <c r="BA100" s="127"/>
      <c r="BB100" s="2"/>
      <c r="BC100" s="27" t="e">
        <f t="shared" si="67"/>
        <v>#N/A</v>
      </c>
      <c r="BD100" s="27" t="e">
        <f t="shared" si="68"/>
        <v>#N/A</v>
      </c>
      <c r="BE100" s="27"/>
      <c r="BF100" s="27">
        <f t="shared" si="69"/>
        <v>0</v>
      </c>
      <c r="BG100" s="27"/>
      <c r="BH100" s="27" t="e">
        <f t="shared" si="70"/>
        <v>#N/A</v>
      </c>
      <c r="BI100" s="27" t="e">
        <f t="shared" si="71"/>
        <v>#N/A</v>
      </c>
      <c r="BJ100" s="27" t="e">
        <f t="shared" si="72"/>
        <v>#N/A</v>
      </c>
      <c r="BK100" s="27"/>
      <c r="BL100" s="27"/>
      <c r="BM100" s="27" t="e">
        <f t="shared" si="73"/>
        <v>#N/A</v>
      </c>
      <c r="BN100" s="27" t="e">
        <f t="shared" si="74"/>
        <v>#N/A</v>
      </c>
      <c r="BO100" s="27" t="e">
        <f t="shared" si="75"/>
        <v>#N/A</v>
      </c>
      <c r="BP100" s="27"/>
      <c r="BQ100" s="27"/>
    </row>
    <row r="101" spans="1:69" x14ac:dyDescent="0.25">
      <c r="A101" s="128"/>
      <c r="B101" s="166"/>
      <c r="C101" s="144"/>
      <c r="D101" s="138" t="e">
        <f>VLOOKUP(G101,[1]!ModTbl,2,0)</f>
        <v>#N/A</v>
      </c>
      <c r="E101" s="138" t="e">
        <f>VLOOKUP(G101,[1]!ModTbl,3,0)</f>
        <v>#N/A</v>
      </c>
      <c r="F101" s="138" t="e">
        <f>VLOOKUP(G101,[1]!ModTbl,4,0)</f>
        <v>#N/A</v>
      </c>
      <c r="G101" s="145"/>
      <c r="H101" s="128"/>
      <c r="I101" s="128"/>
      <c r="J101" s="58" t="e">
        <f>VLOOKUP(G101,[1]!ModTbl,8,0)</f>
        <v>#N/A</v>
      </c>
      <c r="K101" s="58" t="e">
        <f>VLOOKUP(G101,[1]!ModTbl,9,0)</f>
        <v>#N/A</v>
      </c>
      <c r="L101" s="58" t="e">
        <f>VLOOKUP(G101,[1]!ModTbl,10,0)</f>
        <v>#N/A</v>
      </c>
      <c r="M101" s="58">
        <v>0</v>
      </c>
      <c r="N101" s="126" t="e">
        <f t="shared" si="78"/>
        <v>#N/A</v>
      </c>
      <c r="O101" s="126" t="e">
        <f t="shared" si="42"/>
        <v>#N/A</v>
      </c>
      <c r="P101" s="126" t="e">
        <f t="shared" si="43"/>
        <v>#N/A</v>
      </c>
      <c r="Q101" s="126" t="e">
        <f t="shared" si="44"/>
        <v>#N/A</v>
      </c>
      <c r="R101" s="126" t="e">
        <f t="shared" si="45"/>
        <v>#N/A</v>
      </c>
      <c r="S101" s="126" t="e">
        <f t="shared" si="46"/>
        <v>#N/A</v>
      </c>
      <c r="T101" s="126" t="e">
        <f t="shared" si="47"/>
        <v>#N/A</v>
      </c>
      <c r="U101" s="94" t="e">
        <f t="shared" si="48"/>
        <v>#N/A</v>
      </c>
      <c r="V101" s="94" t="e">
        <f t="shared" si="49"/>
        <v>#N/A</v>
      </c>
      <c r="W101" s="94" t="e">
        <f t="shared" si="50"/>
        <v>#N/A</v>
      </c>
      <c r="X101" s="94" t="e">
        <f t="shared" si="51"/>
        <v>#N/A</v>
      </c>
      <c r="Y101" s="95">
        <f t="shared" si="52"/>
        <v>0</v>
      </c>
      <c r="Z101" s="126" t="e">
        <f t="shared" si="53"/>
        <v>#N/A</v>
      </c>
      <c r="AA101" s="126" t="e">
        <f t="shared" si="54"/>
        <v>#N/A</v>
      </c>
      <c r="AB101" s="126" t="e">
        <f t="shared" si="55"/>
        <v>#N/A</v>
      </c>
      <c r="AC101" s="126" t="e">
        <f t="shared" si="56"/>
        <v>#N/A</v>
      </c>
      <c r="AD101" s="126"/>
      <c r="AE101" s="126"/>
      <c r="AF101" s="126"/>
      <c r="AG101" s="126"/>
      <c r="AH101" s="126"/>
      <c r="AI101" s="126">
        <f t="shared" si="79"/>
        <v>0</v>
      </c>
      <c r="AJ101" s="126"/>
      <c r="AK101" s="94" t="e">
        <f t="shared" si="57"/>
        <v>#N/A</v>
      </c>
      <c r="AL101" s="94" t="e">
        <f t="shared" si="58"/>
        <v>#N/A</v>
      </c>
      <c r="AM101" s="94" t="e">
        <f t="shared" si="59"/>
        <v>#N/A</v>
      </c>
      <c r="AN101" s="94" t="e">
        <f t="shared" si="60"/>
        <v>#N/A</v>
      </c>
      <c r="AO101" s="95">
        <f t="shared" si="61"/>
        <v>0</v>
      </c>
      <c r="AP101" s="126" t="e">
        <f t="shared" si="62"/>
        <v>#N/A</v>
      </c>
      <c r="AQ101" s="126" t="e">
        <f t="shared" si="63"/>
        <v>#N/A</v>
      </c>
      <c r="AR101" s="126" t="e">
        <f t="shared" si="64"/>
        <v>#N/A</v>
      </c>
      <c r="AS101" s="126" t="e">
        <f t="shared" si="65"/>
        <v>#N/A</v>
      </c>
      <c r="AT101" s="126">
        <v>0</v>
      </c>
      <c r="AU101" s="126"/>
      <c r="AV101" s="126"/>
      <c r="AW101" s="126"/>
      <c r="AX101" s="126"/>
      <c r="AY101" s="126">
        <f t="shared" si="66"/>
        <v>0</v>
      </c>
      <c r="AZ101" s="127"/>
      <c r="BA101" s="127"/>
      <c r="BB101" s="2"/>
      <c r="BC101" s="27" t="e">
        <f t="shared" si="67"/>
        <v>#N/A</v>
      </c>
      <c r="BD101" s="27" t="e">
        <f t="shared" si="68"/>
        <v>#N/A</v>
      </c>
      <c r="BE101" s="27"/>
      <c r="BF101" s="27">
        <f t="shared" si="69"/>
        <v>0</v>
      </c>
      <c r="BG101" s="27"/>
      <c r="BH101" s="27" t="e">
        <f t="shared" si="70"/>
        <v>#N/A</v>
      </c>
      <c r="BI101" s="27" t="e">
        <f t="shared" si="71"/>
        <v>#N/A</v>
      </c>
      <c r="BJ101" s="27" t="e">
        <f t="shared" si="72"/>
        <v>#N/A</v>
      </c>
      <c r="BK101" s="27"/>
      <c r="BL101" s="27"/>
      <c r="BM101" s="27" t="e">
        <f t="shared" si="73"/>
        <v>#N/A</v>
      </c>
      <c r="BN101" s="27" t="e">
        <f t="shared" si="74"/>
        <v>#N/A</v>
      </c>
      <c r="BO101" s="27" t="e">
        <f t="shared" si="75"/>
        <v>#N/A</v>
      </c>
      <c r="BP101" s="27"/>
      <c r="BQ101" s="27"/>
    </row>
    <row r="102" spans="1:69" x14ac:dyDescent="0.25">
      <c r="A102" s="128"/>
      <c r="B102" s="166"/>
      <c r="C102" s="144"/>
      <c r="D102" s="138" t="e">
        <f>VLOOKUP(G102,[1]!ModTbl,2,0)</f>
        <v>#N/A</v>
      </c>
      <c r="E102" s="138" t="e">
        <f>VLOOKUP(G102,[1]!ModTbl,3,0)</f>
        <v>#N/A</v>
      </c>
      <c r="F102" s="138" t="e">
        <f>VLOOKUP(G102,[1]!ModTbl,4,0)</f>
        <v>#N/A</v>
      </c>
      <c r="G102" s="145"/>
      <c r="H102" s="128"/>
      <c r="I102" s="128"/>
      <c r="J102" s="58" t="e">
        <f>VLOOKUP(G102,[1]!ModTbl,8,0)</f>
        <v>#N/A</v>
      </c>
      <c r="K102" s="58" t="e">
        <f>VLOOKUP(G102,[1]!ModTbl,9,0)</f>
        <v>#N/A</v>
      </c>
      <c r="L102" s="58" t="e">
        <f>VLOOKUP(G102,[1]!ModTbl,10,0)</f>
        <v>#N/A</v>
      </c>
      <c r="M102" s="58">
        <v>0</v>
      </c>
      <c r="N102" s="126" t="e">
        <f t="shared" si="78"/>
        <v>#N/A</v>
      </c>
      <c r="O102" s="126" t="e">
        <f t="shared" si="42"/>
        <v>#N/A</v>
      </c>
      <c r="P102" s="126" t="e">
        <f t="shared" si="43"/>
        <v>#N/A</v>
      </c>
      <c r="Q102" s="126" t="e">
        <f t="shared" si="44"/>
        <v>#N/A</v>
      </c>
      <c r="R102" s="126" t="e">
        <f t="shared" si="45"/>
        <v>#N/A</v>
      </c>
      <c r="S102" s="126" t="e">
        <f t="shared" si="46"/>
        <v>#N/A</v>
      </c>
      <c r="T102" s="126" t="e">
        <f t="shared" si="47"/>
        <v>#N/A</v>
      </c>
      <c r="U102" s="94" t="e">
        <f t="shared" si="48"/>
        <v>#N/A</v>
      </c>
      <c r="V102" s="94" t="e">
        <f t="shared" si="49"/>
        <v>#N/A</v>
      </c>
      <c r="W102" s="94" t="e">
        <f t="shared" si="50"/>
        <v>#N/A</v>
      </c>
      <c r="X102" s="94" t="e">
        <f t="shared" si="51"/>
        <v>#N/A</v>
      </c>
      <c r="Y102" s="95">
        <f t="shared" si="52"/>
        <v>0</v>
      </c>
      <c r="Z102" s="126" t="e">
        <f t="shared" si="53"/>
        <v>#N/A</v>
      </c>
      <c r="AA102" s="126" t="e">
        <f t="shared" si="54"/>
        <v>#N/A</v>
      </c>
      <c r="AB102" s="126" t="e">
        <f t="shared" si="55"/>
        <v>#N/A</v>
      </c>
      <c r="AC102" s="126" t="e">
        <f t="shared" si="56"/>
        <v>#N/A</v>
      </c>
      <c r="AD102" s="126"/>
      <c r="AE102" s="126"/>
      <c r="AF102" s="126"/>
      <c r="AG102" s="126"/>
      <c r="AH102" s="126"/>
      <c r="AI102" s="126">
        <f t="shared" si="79"/>
        <v>0</v>
      </c>
      <c r="AJ102" s="126"/>
      <c r="AK102" s="94" t="e">
        <f t="shared" si="57"/>
        <v>#N/A</v>
      </c>
      <c r="AL102" s="94" t="e">
        <f t="shared" si="58"/>
        <v>#N/A</v>
      </c>
      <c r="AM102" s="94" t="e">
        <f t="shared" si="59"/>
        <v>#N/A</v>
      </c>
      <c r="AN102" s="94" t="e">
        <f t="shared" si="60"/>
        <v>#N/A</v>
      </c>
      <c r="AO102" s="95">
        <f t="shared" si="61"/>
        <v>0</v>
      </c>
      <c r="AP102" s="126" t="e">
        <f t="shared" si="62"/>
        <v>#N/A</v>
      </c>
      <c r="AQ102" s="126" t="e">
        <f t="shared" si="63"/>
        <v>#N/A</v>
      </c>
      <c r="AR102" s="126" t="e">
        <f t="shared" si="64"/>
        <v>#N/A</v>
      </c>
      <c r="AS102" s="126" t="e">
        <f t="shared" si="65"/>
        <v>#N/A</v>
      </c>
      <c r="AT102" s="126">
        <v>0</v>
      </c>
      <c r="AU102" s="126"/>
      <c r="AV102" s="126"/>
      <c r="AW102" s="126"/>
      <c r="AX102" s="126"/>
      <c r="AY102" s="126">
        <f t="shared" si="66"/>
        <v>0</v>
      </c>
      <c r="AZ102" s="127"/>
      <c r="BA102" s="127"/>
      <c r="BB102" s="2"/>
      <c r="BC102" s="27" t="e">
        <f t="shared" si="67"/>
        <v>#N/A</v>
      </c>
      <c r="BD102" s="27" t="e">
        <f t="shared" si="68"/>
        <v>#N/A</v>
      </c>
      <c r="BE102" s="27"/>
      <c r="BF102" s="27">
        <f t="shared" si="69"/>
        <v>0</v>
      </c>
      <c r="BG102" s="27"/>
      <c r="BH102" s="27" t="e">
        <f t="shared" si="70"/>
        <v>#N/A</v>
      </c>
      <c r="BI102" s="27" t="e">
        <f t="shared" si="71"/>
        <v>#N/A</v>
      </c>
      <c r="BJ102" s="27" t="e">
        <f t="shared" si="72"/>
        <v>#N/A</v>
      </c>
      <c r="BK102" s="27"/>
      <c r="BL102" s="27"/>
      <c r="BM102" s="27" t="e">
        <f t="shared" si="73"/>
        <v>#N/A</v>
      </c>
      <c r="BN102" s="27" t="e">
        <f t="shared" si="74"/>
        <v>#N/A</v>
      </c>
      <c r="BO102" s="27" t="e">
        <f t="shared" si="75"/>
        <v>#N/A</v>
      </c>
      <c r="BP102" s="27"/>
      <c r="BQ102" s="27"/>
    </row>
    <row r="103" spans="1:69" x14ac:dyDescent="0.25">
      <c r="A103" s="128"/>
      <c r="B103" s="166"/>
      <c r="C103" s="144"/>
      <c r="D103" s="138" t="e">
        <f>VLOOKUP(G103,[1]!ModTbl,2,0)</f>
        <v>#N/A</v>
      </c>
      <c r="E103" s="138" t="e">
        <f>VLOOKUP(G103,[1]!ModTbl,3,0)</f>
        <v>#N/A</v>
      </c>
      <c r="F103" s="138" t="e">
        <f>VLOOKUP(G103,[1]!ModTbl,4,0)</f>
        <v>#N/A</v>
      </c>
      <c r="G103" s="145"/>
      <c r="H103" s="128"/>
      <c r="I103" s="128"/>
      <c r="J103" s="58" t="e">
        <f>VLOOKUP(G103,[1]!ModTbl,8,0)</f>
        <v>#N/A</v>
      </c>
      <c r="K103" s="58" t="e">
        <f>VLOOKUP(G103,[1]!ModTbl,9,0)</f>
        <v>#N/A</v>
      </c>
      <c r="L103" s="58" t="e">
        <f>VLOOKUP(G103,[1]!ModTbl,10,0)</f>
        <v>#N/A</v>
      </c>
      <c r="M103" s="58">
        <v>0</v>
      </c>
      <c r="N103" s="126" t="e">
        <f t="shared" si="78"/>
        <v>#N/A</v>
      </c>
      <c r="O103" s="126" t="e">
        <f t="shared" si="42"/>
        <v>#N/A</v>
      </c>
      <c r="P103" s="126" t="e">
        <f t="shared" si="43"/>
        <v>#N/A</v>
      </c>
      <c r="Q103" s="126" t="e">
        <f t="shared" si="44"/>
        <v>#N/A</v>
      </c>
      <c r="R103" s="126" t="e">
        <f t="shared" si="45"/>
        <v>#N/A</v>
      </c>
      <c r="S103" s="126" t="e">
        <f t="shared" si="46"/>
        <v>#N/A</v>
      </c>
      <c r="T103" s="126" t="e">
        <f t="shared" si="47"/>
        <v>#N/A</v>
      </c>
      <c r="U103" s="94" t="e">
        <f t="shared" si="48"/>
        <v>#N/A</v>
      </c>
      <c r="V103" s="94" t="e">
        <f t="shared" si="49"/>
        <v>#N/A</v>
      </c>
      <c r="W103" s="94" t="e">
        <f t="shared" si="50"/>
        <v>#N/A</v>
      </c>
      <c r="X103" s="94" t="e">
        <f t="shared" si="51"/>
        <v>#N/A</v>
      </c>
      <c r="Y103" s="95">
        <f t="shared" si="52"/>
        <v>0</v>
      </c>
      <c r="Z103" s="126" t="e">
        <f t="shared" si="53"/>
        <v>#N/A</v>
      </c>
      <c r="AA103" s="126" t="e">
        <f t="shared" si="54"/>
        <v>#N/A</v>
      </c>
      <c r="AB103" s="126" t="e">
        <f t="shared" si="55"/>
        <v>#N/A</v>
      </c>
      <c r="AC103" s="126" t="e">
        <f t="shared" si="56"/>
        <v>#N/A</v>
      </c>
      <c r="AD103" s="126"/>
      <c r="AE103" s="126"/>
      <c r="AF103" s="126"/>
      <c r="AG103" s="126"/>
      <c r="AH103" s="126"/>
      <c r="AI103" s="126">
        <f t="shared" si="79"/>
        <v>0</v>
      </c>
      <c r="AJ103" s="126"/>
      <c r="AK103" s="94" t="e">
        <f t="shared" si="57"/>
        <v>#N/A</v>
      </c>
      <c r="AL103" s="94" t="e">
        <f t="shared" si="58"/>
        <v>#N/A</v>
      </c>
      <c r="AM103" s="94" t="e">
        <f t="shared" si="59"/>
        <v>#N/A</v>
      </c>
      <c r="AN103" s="94" t="e">
        <f t="shared" si="60"/>
        <v>#N/A</v>
      </c>
      <c r="AO103" s="95">
        <f t="shared" si="61"/>
        <v>0</v>
      </c>
      <c r="AP103" s="126" t="e">
        <f t="shared" si="62"/>
        <v>#N/A</v>
      </c>
      <c r="AQ103" s="126" t="e">
        <f t="shared" si="63"/>
        <v>#N/A</v>
      </c>
      <c r="AR103" s="126" t="e">
        <f t="shared" si="64"/>
        <v>#N/A</v>
      </c>
      <c r="AS103" s="126" t="e">
        <f t="shared" si="65"/>
        <v>#N/A</v>
      </c>
      <c r="AT103" s="126">
        <v>0</v>
      </c>
      <c r="AU103" s="126"/>
      <c r="AV103" s="126"/>
      <c r="AW103" s="126"/>
      <c r="AX103" s="126"/>
      <c r="AY103" s="126">
        <f t="shared" si="66"/>
        <v>0</v>
      </c>
      <c r="AZ103" s="127"/>
      <c r="BA103" s="127"/>
      <c r="BB103" s="2"/>
      <c r="BC103" s="27" t="e">
        <f t="shared" si="67"/>
        <v>#N/A</v>
      </c>
      <c r="BD103" s="27" t="e">
        <f t="shared" si="68"/>
        <v>#N/A</v>
      </c>
      <c r="BE103" s="27"/>
      <c r="BF103" s="27">
        <f t="shared" si="69"/>
        <v>0</v>
      </c>
      <c r="BG103" s="27"/>
      <c r="BH103" s="27" t="e">
        <f t="shared" si="70"/>
        <v>#N/A</v>
      </c>
      <c r="BI103" s="27" t="e">
        <f t="shared" si="71"/>
        <v>#N/A</v>
      </c>
      <c r="BJ103" s="27" t="e">
        <f t="shared" si="72"/>
        <v>#N/A</v>
      </c>
      <c r="BK103" s="27"/>
      <c r="BL103" s="27"/>
      <c r="BM103" s="27" t="e">
        <f t="shared" si="73"/>
        <v>#N/A</v>
      </c>
      <c r="BN103" s="27" t="e">
        <f t="shared" si="74"/>
        <v>#N/A</v>
      </c>
      <c r="BO103" s="27" t="e">
        <f t="shared" si="75"/>
        <v>#N/A</v>
      </c>
      <c r="BP103" s="27"/>
      <c r="BQ103" s="27"/>
    </row>
    <row r="104" spans="1:69" x14ac:dyDescent="0.25">
      <c r="A104" s="128"/>
      <c r="B104" s="166"/>
      <c r="C104" s="126"/>
      <c r="D104" s="57" t="e">
        <f>VLOOKUP(G104,[1]!ModTbl,2,0)</f>
        <v>#N/A</v>
      </c>
      <c r="E104" s="57" t="e">
        <f>VLOOKUP(G104,[1]!ModTbl,3,0)</f>
        <v>#N/A</v>
      </c>
      <c r="F104" s="57" t="e">
        <f>VLOOKUP(G104,[1]!ModTbl,4,0)</f>
        <v>#N/A</v>
      </c>
      <c r="G104" s="25"/>
      <c r="H104" s="128"/>
      <c r="I104" s="128"/>
      <c r="J104" s="58" t="e">
        <f>VLOOKUP(G104,[1]!ModTbl,8,0)</f>
        <v>#N/A</v>
      </c>
      <c r="K104" s="58" t="e">
        <f>VLOOKUP(G104,[1]!ModTbl,9,0)</f>
        <v>#N/A</v>
      </c>
      <c r="L104" s="58" t="e">
        <f>VLOOKUP(G104,[1]!ModTbl,10,0)</f>
        <v>#N/A</v>
      </c>
      <c r="M104" s="58">
        <v>0</v>
      </c>
      <c r="N104" s="126" t="e">
        <f t="shared" si="78"/>
        <v>#N/A</v>
      </c>
      <c r="O104" s="126" t="e">
        <f t="shared" si="42"/>
        <v>#N/A</v>
      </c>
      <c r="P104" s="126" t="e">
        <f t="shared" si="43"/>
        <v>#N/A</v>
      </c>
      <c r="Q104" s="126" t="e">
        <f t="shared" si="44"/>
        <v>#N/A</v>
      </c>
      <c r="R104" s="126" t="e">
        <f t="shared" si="45"/>
        <v>#N/A</v>
      </c>
      <c r="S104" s="126" t="e">
        <f t="shared" si="46"/>
        <v>#N/A</v>
      </c>
      <c r="T104" s="126" t="e">
        <f t="shared" si="47"/>
        <v>#N/A</v>
      </c>
      <c r="U104" s="94" t="e">
        <f t="shared" si="48"/>
        <v>#N/A</v>
      </c>
      <c r="V104" s="94" t="e">
        <f t="shared" si="49"/>
        <v>#N/A</v>
      </c>
      <c r="W104" s="94" t="e">
        <f t="shared" si="50"/>
        <v>#N/A</v>
      </c>
      <c r="X104" s="94" t="e">
        <f t="shared" si="51"/>
        <v>#N/A</v>
      </c>
      <c r="Y104" s="95">
        <f t="shared" si="52"/>
        <v>0</v>
      </c>
      <c r="Z104" s="126" t="e">
        <f t="shared" si="53"/>
        <v>#N/A</v>
      </c>
      <c r="AA104" s="126" t="e">
        <f t="shared" si="54"/>
        <v>#N/A</v>
      </c>
      <c r="AB104" s="126" t="e">
        <f t="shared" si="55"/>
        <v>#N/A</v>
      </c>
      <c r="AC104" s="126" t="e">
        <f t="shared" si="56"/>
        <v>#N/A</v>
      </c>
      <c r="AD104" s="126"/>
      <c r="AE104" s="126"/>
      <c r="AF104" s="126"/>
      <c r="AG104" s="126"/>
      <c r="AH104" s="126"/>
      <c r="AI104" s="126">
        <f t="shared" si="79"/>
        <v>0</v>
      </c>
      <c r="AJ104" s="126"/>
      <c r="AK104" s="94" t="e">
        <f t="shared" si="57"/>
        <v>#N/A</v>
      </c>
      <c r="AL104" s="94" t="e">
        <f t="shared" si="58"/>
        <v>#N/A</v>
      </c>
      <c r="AM104" s="94" t="e">
        <f t="shared" si="59"/>
        <v>#N/A</v>
      </c>
      <c r="AN104" s="94" t="e">
        <f t="shared" si="60"/>
        <v>#N/A</v>
      </c>
      <c r="AO104" s="95">
        <f t="shared" si="61"/>
        <v>0</v>
      </c>
      <c r="AP104" s="126" t="e">
        <f t="shared" si="62"/>
        <v>#N/A</v>
      </c>
      <c r="AQ104" s="126" t="e">
        <f t="shared" si="63"/>
        <v>#N/A</v>
      </c>
      <c r="AR104" s="126" t="e">
        <f t="shared" si="64"/>
        <v>#N/A</v>
      </c>
      <c r="AS104" s="126" t="e">
        <f t="shared" si="65"/>
        <v>#N/A</v>
      </c>
      <c r="AT104" s="126">
        <v>0</v>
      </c>
      <c r="AU104" s="126"/>
      <c r="AV104" s="126"/>
      <c r="AW104" s="126"/>
      <c r="AX104" s="126"/>
      <c r="AY104" s="126">
        <f t="shared" si="66"/>
        <v>0</v>
      </c>
      <c r="AZ104" s="127"/>
      <c r="BA104" s="127"/>
      <c r="BB104" s="2"/>
      <c r="BC104" s="27" t="e">
        <f t="shared" si="67"/>
        <v>#N/A</v>
      </c>
      <c r="BD104" s="27" t="e">
        <f t="shared" si="68"/>
        <v>#N/A</v>
      </c>
      <c r="BE104" s="27"/>
      <c r="BF104" s="27">
        <f t="shared" si="69"/>
        <v>0</v>
      </c>
      <c r="BG104" s="27"/>
      <c r="BH104" s="27" t="e">
        <f t="shared" si="70"/>
        <v>#N/A</v>
      </c>
      <c r="BI104" s="27" t="e">
        <f t="shared" si="71"/>
        <v>#N/A</v>
      </c>
      <c r="BJ104" s="27" t="e">
        <f t="shared" si="72"/>
        <v>#N/A</v>
      </c>
      <c r="BK104" s="27"/>
      <c r="BL104" s="27"/>
      <c r="BM104" s="27" t="e">
        <f t="shared" si="73"/>
        <v>#N/A</v>
      </c>
      <c r="BN104" s="27" t="e">
        <f t="shared" si="74"/>
        <v>#N/A</v>
      </c>
      <c r="BO104" s="27" t="e">
        <f t="shared" si="75"/>
        <v>#N/A</v>
      </c>
      <c r="BP104" s="27"/>
      <c r="BQ104" s="27"/>
    </row>
    <row r="105" spans="1:69" x14ac:dyDescent="0.25">
      <c r="A105" s="128"/>
      <c r="B105" s="166"/>
      <c r="C105" s="126"/>
      <c r="D105" s="57" t="e">
        <f>VLOOKUP(G105,[1]!ModTbl,2,0)</f>
        <v>#N/A</v>
      </c>
      <c r="E105" s="57" t="e">
        <f>VLOOKUP(G105,[1]!ModTbl,3,0)</f>
        <v>#N/A</v>
      </c>
      <c r="F105" s="57" t="e">
        <f>VLOOKUP(G105,[1]!ModTbl,4,0)</f>
        <v>#N/A</v>
      </c>
      <c r="G105" s="25"/>
      <c r="H105" s="128"/>
      <c r="I105" s="128"/>
      <c r="J105" s="58" t="e">
        <f>VLOOKUP(G105,[1]!ModTbl,8,0)</f>
        <v>#N/A</v>
      </c>
      <c r="K105" s="58" t="e">
        <f>VLOOKUP(G105,[1]!ModTbl,9,0)</f>
        <v>#N/A</v>
      </c>
      <c r="L105" s="58" t="e">
        <f>VLOOKUP(G105,[1]!ModTbl,10,0)</f>
        <v>#N/A</v>
      </c>
      <c r="M105" s="58">
        <v>0</v>
      </c>
      <c r="N105" s="126" t="e">
        <f t="shared" si="78"/>
        <v>#N/A</v>
      </c>
      <c r="O105" s="126" t="e">
        <f t="shared" si="42"/>
        <v>#N/A</v>
      </c>
      <c r="P105" s="126" t="e">
        <f t="shared" si="43"/>
        <v>#N/A</v>
      </c>
      <c r="Q105" s="126" t="e">
        <f t="shared" si="44"/>
        <v>#N/A</v>
      </c>
      <c r="R105" s="126" t="e">
        <f t="shared" si="45"/>
        <v>#N/A</v>
      </c>
      <c r="S105" s="126" t="e">
        <f t="shared" si="46"/>
        <v>#N/A</v>
      </c>
      <c r="T105" s="126" t="e">
        <f t="shared" si="47"/>
        <v>#N/A</v>
      </c>
      <c r="U105" s="94" t="e">
        <f t="shared" si="48"/>
        <v>#N/A</v>
      </c>
      <c r="V105" s="94" t="e">
        <f t="shared" si="49"/>
        <v>#N/A</v>
      </c>
      <c r="W105" s="94" t="e">
        <f t="shared" si="50"/>
        <v>#N/A</v>
      </c>
      <c r="X105" s="94" t="e">
        <f t="shared" si="51"/>
        <v>#N/A</v>
      </c>
      <c r="Y105" s="95">
        <f t="shared" si="52"/>
        <v>0</v>
      </c>
      <c r="Z105" s="126" t="e">
        <f t="shared" si="53"/>
        <v>#N/A</v>
      </c>
      <c r="AA105" s="126" t="e">
        <f t="shared" si="54"/>
        <v>#N/A</v>
      </c>
      <c r="AB105" s="126" t="e">
        <f t="shared" si="55"/>
        <v>#N/A</v>
      </c>
      <c r="AC105" s="126" t="e">
        <f t="shared" si="56"/>
        <v>#N/A</v>
      </c>
      <c r="AD105" s="126"/>
      <c r="AE105" s="126"/>
      <c r="AF105" s="126"/>
      <c r="AG105" s="126"/>
      <c r="AH105" s="126"/>
      <c r="AI105" s="126">
        <f t="shared" si="79"/>
        <v>0</v>
      </c>
      <c r="AJ105" s="126"/>
      <c r="AK105" s="94" t="e">
        <f t="shared" si="57"/>
        <v>#N/A</v>
      </c>
      <c r="AL105" s="94" t="e">
        <f t="shared" si="58"/>
        <v>#N/A</v>
      </c>
      <c r="AM105" s="94" t="e">
        <f t="shared" si="59"/>
        <v>#N/A</v>
      </c>
      <c r="AN105" s="94" t="e">
        <f t="shared" si="60"/>
        <v>#N/A</v>
      </c>
      <c r="AO105" s="95">
        <f t="shared" si="61"/>
        <v>0</v>
      </c>
      <c r="AP105" s="126" t="e">
        <f t="shared" si="62"/>
        <v>#N/A</v>
      </c>
      <c r="AQ105" s="126" t="e">
        <f t="shared" si="63"/>
        <v>#N/A</v>
      </c>
      <c r="AR105" s="126" t="e">
        <f t="shared" si="64"/>
        <v>#N/A</v>
      </c>
      <c r="AS105" s="126" t="e">
        <f t="shared" si="65"/>
        <v>#N/A</v>
      </c>
      <c r="AT105" s="126">
        <v>0</v>
      </c>
      <c r="AU105" s="126"/>
      <c r="AV105" s="126"/>
      <c r="AW105" s="126"/>
      <c r="AX105" s="126"/>
      <c r="AY105" s="126">
        <f t="shared" si="66"/>
        <v>0</v>
      </c>
      <c r="AZ105" s="127"/>
      <c r="BA105" s="127"/>
      <c r="BB105" s="2"/>
      <c r="BC105" s="27" t="e">
        <f t="shared" si="67"/>
        <v>#N/A</v>
      </c>
      <c r="BD105" s="27" t="e">
        <f t="shared" si="68"/>
        <v>#N/A</v>
      </c>
      <c r="BE105" s="27"/>
      <c r="BF105" s="27">
        <f t="shared" si="69"/>
        <v>0</v>
      </c>
      <c r="BG105" s="27"/>
      <c r="BH105" s="27" t="e">
        <f t="shared" si="70"/>
        <v>#N/A</v>
      </c>
      <c r="BI105" s="27" t="e">
        <f t="shared" si="71"/>
        <v>#N/A</v>
      </c>
      <c r="BJ105" s="27" t="e">
        <f t="shared" si="72"/>
        <v>#N/A</v>
      </c>
      <c r="BK105" s="27"/>
      <c r="BL105" s="27"/>
      <c r="BM105" s="27" t="e">
        <f t="shared" si="73"/>
        <v>#N/A</v>
      </c>
      <c r="BN105" s="27" t="e">
        <f t="shared" si="74"/>
        <v>#N/A</v>
      </c>
      <c r="BO105" s="27" t="e">
        <f t="shared" si="75"/>
        <v>#N/A</v>
      </c>
      <c r="BP105" s="27"/>
      <c r="BQ105" s="27"/>
    </row>
    <row r="106" spans="1:69" x14ac:dyDescent="0.25">
      <c r="A106" s="128"/>
      <c r="B106" s="166"/>
      <c r="C106" s="144"/>
      <c r="D106" s="138" t="e">
        <f>VLOOKUP(G106,[1]!ModTbl,2,0)</f>
        <v>#N/A</v>
      </c>
      <c r="E106" s="138" t="e">
        <f>VLOOKUP(G106,[1]!ModTbl,3,0)</f>
        <v>#N/A</v>
      </c>
      <c r="F106" s="138" t="e">
        <f>VLOOKUP(G106,[1]!ModTbl,4,0)</f>
        <v>#N/A</v>
      </c>
      <c r="G106" s="145"/>
      <c r="H106" s="128"/>
      <c r="I106" s="128"/>
      <c r="J106" s="58" t="e">
        <f>VLOOKUP(G106,[1]!ModTbl,8,0)</f>
        <v>#N/A</v>
      </c>
      <c r="K106" s="58" t="e">
        <f>VLOOKUP(G106,[1]!ModTbl,9,0)</f>
        <v>#N/A</v>
      </c>
      <c r="L106" s="58" t="e">
        <f>VLOOKUP(G106,[1]!ModTbl,10,0)</f>
        <v>#N/A</v>
      </c>
      <c r="M106" s="58">
        <v>0</v>
      </c>
      <c r="N106" s="126" t="e">
        <f t="shared" si="78"/>
        <v>#N/A</v>
      </c>
      <c r="O106" s="126" t="e">
        <f t="shared" si="42"/>
        <v>#N/A</v>
      </c>
      <c r="P106" s="126" t="e">
        <f t="shared" si="43"/>
        <v>#N/A</v>
      </c>
      <c r="Q106" s="126" t="e">
        <f t="shared" si="44"/>
        <v>#N/A</v>
      </c>
      <c r="R106" s="126" t="e">
        <f t="shared" si="45"/>
        <v>#N/A</v>
      </c>
      <c r="S106" s="126" t="e">
        <f t="shared" si="46"/>
        <v>#N/A</v>
      </c>
      <c r="T106" s="126" t="e">
        <f t="shared" si="47"/>
        <v>#N/A</v>
      </c>
      <c r="U106" s="94" t="e">
        <f t="shared" si="48"/>
        <v>#N/A</v>
      </c>
      <c r="V106" s="94" t="e">
        <f t="shared" si="49"/>
        <v>#N/A</v>
      </c>
      <c r="W106" s="94" t="e">
        <f t="shared" si="50"/>
        <v>#N/A</v>
      </c>
      <c r="X106" s="94" t="e">
        <f t="shared" si="51"/>
        <v>#N/A</v>
      </c>
      <c r="Y106" s="95">
        <f t="shared" si="52"/>
        <v>0</v>
      </c>
      <c r="Z106" s="126" t="e">
        <f t="shared" si="53"/>
        <v>#N/A</v>
      </c>
      <c r="AA106" s="126" t="e">
        <f t="shared" si="54"/>
        <v>#N/A</v>
      </c>
      <c r="AB106" s="126" t="e">
        <f t="shared" si="55"/>
        <v>#N/A</v>
      </c>
      <c r="AC106" s="126" t="e">
        <f t="shared" si="56"/>
        <v>#N/A</v>
      </c>
      <c r="AD106" s="126"/>
      <c r="AE106" s="126"/>
      <c r="AF106" s="126"/>
      <c r="AG106" s="126"/>
      <c r="AH106" s="126"/>
      <c r="AI106" s="126">
        <f t="shared" si="79"/>
        <v>0</v>
      </c>
      <c r="AJ106" s="126"/>
      <c r="AK106" s="94" t="e">
        <f t="shared" si="57"/>
        <v>#N/A</v>
      </c>
      <c r="AL106" s="94" t="e">
        <f t="shared" si="58"/>
        <v>#N/A</v>
      </c>
      <c r="AM106" s="94" t="e">
        <f t="shared" si="59"/>
        <v>#N/A</v>
      </c>
      <c r="AN106" s="94" t="e">
        <f t="shared" si="60"/>
        <v>#N/A</v>
      </c>
      <c r="AO106" s="95">
        <f t="shared" si="61"/>
        <v>0</v>
      </c>
      <c r="AP106" s="126" t="e">
        <f t="shared" si="62"/>
        <v>#N/A</v>
      </c>
      <c r="AQ106" s="126" t="e">
        <f t="shared" si="63"/>
        <v>#N/A</v>
      </c>
      <c r="AR106" s="126" t="e">
        <f t="shared" si="64"/>
        <v>#N/A</v>
      </c>
      <c r="AS106" s="126" t="e">
        <f t="shared" si="65"/>
        <v>#N/A</v>
      </c>
      <c r="AT106" s="126">
        <v>0</v>
      </c>
      <c r="AU106" s="126"/>
      <c r="AV106" s="126"/>
      <c r="AW106" s="126"/>
      <c r="AX106" s="126"/>
      <c r="AY106" s="126">
        <f t="shared" si="66"/>
        <v>0</v>
      </c>
      <c r="AZ106" s="127"/>
      <c r="BA106" s="127"/>
      <c r="BB106" s="2"/>
      <c r="BC106" s="27" t="e">
        <f t="shared" si="67"/>
        <v>#N/A</v>
      </c>
      <c r="BD106" s="27" t="e">
        <f t="shared" si="68"/>
        <v>#N/A</v>
      </c>
      <c r="BE106" s="27"/>
      <c r="BF106" s="27">
        <f t="shared" si="69"/>
        <v>0</v>
      </c>
      <c r="BG106" s="27"/>
      <c r="BH106" s="27" t="e">
        <f t="shared" si="70"/>
        <v>#N/A</v>
      </c>
      <c r="BI106" s="27" t="e">
        <f t="shared" si="71"/>
        <v>#N/A</v>
      </c>
      <c r="BJ106" s="27" t="e">
        <f t="shared" si="72"/>
        <v>#N/A</v>
      </c>
      <c r="BK106" s="27"/>
      <c r="BL106" s="27"/>
      <c r="BM106" s="27" t="e">
        <f t="shared" si="73"/>
        <v>#N/A</v>
      </c>
      <c r="BN106" s="27" t="e">
        <f t="shared" si="74"/>
        <v>#N/A</v>
      </c>
      <c r="BO106" s="27" t="e">
        <f t="shared" si="75"/>
        <v>#N/A</v>
      </c>
      <c r="BP106" s="27"/>
      <c r="BQ106" s="27"/>
    </row>
    <row r="107" spans="1:69" x14ac:dyDescent="0.25">
      <c r="A107" s="128"/>
      <c r="B107" s="166"/>
      <c r="C107" s="144"/>
      <c r="D107" s="138" t="e">
        <f>VLOOKUP(G107,[1]!ModTbl,2,0)</f>
        <v>#N/A</v>
      </c>
      <c r="E107" s="138" t="e">
        <f>VLOOKUP(G107,[1]!ModTbl,3,0)</f>
        <v>#N/A</v>
      </c>
      <c r="F107" s="138" t="e">
        <f>VLOOKUP(G107,[1]!ModTbl,4,0)</f>
        <v>#N/A</v>
      </c>
      <c r="G107" s="145"/>
      <c r="H107" s="128"/>
      <c r="I107" s="128"/>
      <c r="J107" s="58" t="e">
        <f>VLOOKUP(G107,[1]!ModTbl,8,0)</f>
        <v>#N/A</v>
      </c>
      <c r="K107" s="58" t="e">
        <f>VLOOKUP(G107,[1]!ModTbl,9,0)</f>
        <v>#N/A</v>
      </c>
      <c r="L107" s="58" t="e">
        <f>VLOOKUP(G107,[1]!ModTbl,10,0)</f>
        <v>#N/A</v>
      </c>
      <c r="M107" s="58">
        <v>0</v>
      </c>
      <c r="N107" s="126" t="e">
        <f t="shared" si="78"/>
        <v>#N/A</v>
      </c>
      <c r="O107" s="126" t="e">
        <f t="shared" si="42"/>
        <v>#N/A</v>
      </c>
      <c r="P107" s="126" t="e">
        <f t="shared" si="43"/>
        <v>#N/A</v>
      </c>
      <c r="Q107" s="126" t="e">
        <f t="shared" si="44"/>
        <v>#N/A</v>
      </c>
      <c r="R107" s="126" t="e">
        <f t="shared" si="45"/>
        <v>#N/A</v>
      </c>
      <c r="S107" s="126" t="e">
        <f t="shared" si="46"/>
        <v>#N/A</v>
      </c>
      <c r="T107" s="126" t="e">
        <f t="shared" si="47"/>
        <v>#N/A</v>
      </c>
      <c r="U107" s="94" t="e">
        <f t="shared" si="48"/>
        <v>#N/A</v>
      </c>
      <c r="V107" s="94" t="e">
        <f t="shared" si="49"/>
        <v>#N/A</v>
      </c>
      <c r="W107" s="94" t="e">
        <f t="shared" si="50"/>
        <v>#N/A</v>
      </c>
      <c r="X107" s="94" t="e">
        <f t="shared" si="51"/>
        <v>#N/A</v>
      </c>
      <c r="Y107" s="95">
        <f t="shared" si="52"/>
        <v>0</v>
      </c>
      <c r="Z107" s="126" t="e">
        <f t="shared" si="53"/>
        <v>#N/A</v>
      </c>
      <c r="AA107" s="126" t="e">
        <f t="shared" si="54"/>
        <v>#N/A</v>
      </c>
      <c r="AB107" s="126" t="e">
        <f t="shared" si="55"/>
        <v>#N/A</v>
      </c>
      <c r="AC107" s="126" t="e">
        <f t="shared" si="56"/>
        <v>#N/A</v>
      </c>
      <c r="AD107" s="126"/>
      <c r="AE107" s="126"/>
      <c r="AF107" s="126"/>
      <c r="AG107" s="126"/>
      <c r="AH107" s="126"/>
      <c r="AI107" s="126">
        <f t="shared" si="79"/>
        <v>0</v>
      </c>
      <c r="AJ107" s="126"/>
      <c r="AK107" s="94" t="e">
        <f t="shared" si="57"/>
        <v>#N/A</v>
      </c>
      <c r="AL107" s="94" t="e">
        <f t="shared" si="58"/>
        <v>#N/A</v>
      </c>
      <c r="AM107" s="94" t="e">
        <f t="shared" si="59"/>
        <v>#N/A</v>
      </c>
      <c r="AN107" s="94" t="e">
        <f t="shared" si="60"/>
        <v>#N/A</v>
      </c>
      <c r="AO107" s="95">
        <f t="shared" si="61"/>
        <v>0</v>
      </c>
      <c r="AP107" s="126" t="e">
        <f t="shared" si="62"/>
        <v>#N/A</v>
      </c>
      <c r="AQ107" s="126" t="e">
        <f t="shared" si="63"/>
        <v>#N/A</v>
      </c>
      <c r="AR107" s="126" t="e">
        <f t="shared" si="64"/>
        <v>#N/A</v>
      </c>
      <c r="AS107" s="126" t="e">
        <f t="shared" si="65"/>
        <v>#N/A</v>
      </c>
      <c r="AT107" s="126">
        <v>0</v>
      </c>
      <c r="AU107" s="126"/>
      <c r="AV107" s="126"/>
      <c r="AW107" s="126"/>
      <c r="AX107" s="126"/>
      <c r="AY107" s="126">
        <f t="shared" si="66"/>
        <v>0</v>
      </c>
      <c r="AZ107" s="127"/>
      <c r="BA107" s="127"/>
      <c r="BB107" s="2"/>
      <c r="BC107" s="27" t="e">
        <f t="shared" si="67"/>
        <v>#N/A</v>
      </c>
      <c r="BD107" s="27" t="e">
        <f t="shared" si="68"/>
        <v>#N/A</v>
      </c>
      <c r="BE107" s="27"/>
      <c r="BF107" s="27">
        <f t="shared" si="69"/>
        <v>0</v>
      </c>
      <c r="BG107" s="27"/>
      <c r="BH107" s="27" t="e">
        <f t="shared" si="70"/>
        <v>#N/A</v>
      </c>
      <c r="BI107" s="27" t="e">
        <f t="shared" si="71"/>
        <v>#N/A</v>
      </c>
      <c r="BJ107" s="27" t="e">
        <f t="shared" si="72"/>
        <v>#N/A</v>
      </c>
      <c r="BK107" s="27"/>
      <c r="BL107" s="27"/>
      <c r="BM107" s="27" t="e">
        <f t="shared" si="73"/>
        <v>#N/A</v>
      </c>
      <c r="BN107" s="27" t="e">
        <f t="shared" si="74"/>
        <v>#N/A</v>
      </c>
      <c r="BO107" s="27" t="e">
        <f t="shared" si="75"/>
        <v>#N/A</v>
      </c>
      <c r="BP107" s="27"/>
      <c r="BQ107" s="27"/>
    </row>
    <row r="108" spans="1:69" x14ac:dyDescent="0.25">
      <c r="A108" s="128"/>
      <c r="B108" s="166"/>
      <c r="C108" s="144"/>
      <c r="D108" s="138" t="e">
        <f>VLOOKUP(G108,[1]!ModTbl,2,0)</f>
        <v>#N/A</v>
      </c>
      <c r="E108" s="138" t="e">
        <f>VLOOKUP(G108,[1]!ModTbl,3,0)</f>
        <v>#N/A</v>
      </c>
      <c r="F108" s="138" t="e">
        <f>VLOOKUP(G108,[1]!ModTbl,4,0)</f>
        <v>#N/A</v>
      </c>
      <c r="G108" s="145"/>
      <c r="H108" s="128"/>
      <c r="I108" s="128"/>
      <c r="J108" s="58" t="e">
        <f>VLOOKUP(G108,[1]!ModTbl,8,0)</f>
        <v>#N/A</v>
      </c>
      <c r="K108" s="58" t="e">
        <f>VLOOKUP(G108,[1]!ModTbl,9,0)</f>
        <v>#N/A</v>
      </c>
      <c r="L108" s="58" t="e">
        <f>VLOOKUP(G108,[1]!ModTbl,10,0)</f>
        <v>#N/A</v>
      </c>
      <c r="M108" s="58">
        <v>0</v>
      </c>
      <c r="N108" s="126" t="e">
        <f t="shared" si="78"/>
        <v>#N/A</v>
      </c>
      <c r="O108" s="126" t="e">
        <f t="shared" si="42"/>
        <v>#N/A</v>
      </c>
      <c r="P108" s="126" t="e">
        <f t="shared" si="43"/>
        <v>#N/A</v>
      </c>
      <c r="Q108" s="126" t="e">
        <f t="shared" si="44"/>
        <v>#N/A</v>
      </c>
      <c r="R108" s="126" t="e">
        <f t="shared" si="45"/>
        <v>#N/A</v>
      </c>
      <c r="S108" s="126" t="e">
        <f t="shared" si="46"/>
        <v>#N/A</v>
      </c>
      <c r="T108" s="126" t="e">
        <f t="shared" si="47"/>
        <v>#N/A</v>
      </c>
      <c r="U108" s="94" t="e">
        <f t="shared" si="48"/>
        <v>#N/A</v>
      </c>
      <c r="V108" s="94" t="e">
        <f t="shared" si="49"/>
        <v>#N/A</v>
      </c>
      <c r="W108" s="94" t="e">
        <f t="shared" si="50"/>
        <v>#N/A</v>
      </c>
      <c r="X108" s="94" t="e">
        <f t="shared" si="51"/>
        <v>#N/A</v>
      </c>
      <c r="Y108" s="95">
        <f t="shared" si="52"/>
        <v>0</v>
      </c>
      <c r="Z108" s="126" t="e">
        <f t="shared" si="53"/>
        <v>#N/A</v>
      </c>
      <c r="AA108" s="126" t="e">
        <f t="shared" si="54"/>
        <v>#N/A</v>
      </c>
      <c r="AB108" s="126" t="e">
        <f t="shared" si="55"/>
        <v>#N/A</v>
      </c>
      <c r="AC108" s="126" t="e">
        <f t="shared" si="56"/>
        <v>#N/A</v>
      </c>
      <c r="AD108" s="126"/>
      <c r="AE108" s="126"/>
      <c r="AF108" s="126"/>
      <c r="AG108" s="126"/>
      <c r="AH108" s="126"/>
      <c r="AI108" s="126">
        <f t="shared" si="79"/>
        <v>0</v>
      </c>
      <c r="AJ108" s="126"/>
      <c r="AK108" s="94" t="e">
        <f t="shared" si="57"/>
        <v>#N/A</v>
      </c>
      <c r="AL108" s="94" t="e">
        <f t="shared" si="58"/>
        <v>#N/A</v>
      </c>
      <c r="AM108" s="94" t="e">
        <f t="shared" si="59"/>
        <v>#N/A</v>
      </c>
      <c r="AN108" s="94" t="e">
        <f t="shared" si="60"/>
        <v>#N/A</v>
      </c>
      <c r="AO108" s="95">
        <f t="shared" si="61"/>
        <v>0</v>
      </c>
      <c r="AP108" s="126" t="e">
        <f t="shared" si="62"/>
        <v>#N/A</v>
      </c>
      <c r="AQ108" s="126" t="e">
        <f t="shared" si="63"/>
        <v>#N/A</v>
      </c>
      <c r="AR108" s="126" t="e">
        <f t="shared" si="64"/>
        <v>#N/A</v>
      </c>
      <c r="AS108" s="126" t="e">
        <f t="shared" si="65"/>
        <v>#N/A</v>
      </c>
      <c r="AT108" s="126">
        <v>0</v>
      </c>
      <c r="AU108" s="126"/>
      <c r="AV108" s="126"/>
      <c r="AW108" s="126"/>
      <c r="AX108" s="126"/>
      <c r="AY108" s="126">
        <f t="shared" si="66"/>
        <v>0</v>
      </c>
      <c r="AZ108" s="127"/>
      <c r="BA108" s="127"/>
      <c r="BB108" s="2"/>
      <c r="BC108" s="27" t="e">
        <f t="shared" si="67"/>
        <v>#N/A</v>
      </c>
      <c r="BD108" s="27" t="e">
        <f t="shared" si="68"/>
        <v>#N/A</v>
      </c>
      <c r="BE108" s="27"/>
      <c r="BF108" s="27">
        <f t="shared" si="69"/>
        <v>0</v>
      </c>
      <c r="BG108" s="27"/>
      <c r="BH108" s="27" t="e">
        <f t="shared" si="70"/>
        <v>#N/A</v>
      </c>
      <c r="BI108" s="27" t="e">
        <f t="shared" si="71"/>
        <v>#N/A</v>
      </c>
      <c r="BJ108" s="27" t="e">
        <f t="shared" si="72"/>
        <v>#N/A</v>
      </c>
      <c r="BK108" s="27"/>
      <c r="BL108" s="27"/>
      <c r="BM108" s="27" t="e">
        <f t="shared" si="73"/>
        <v>#N/A</v>
      </c>
      <c r="BN108" s="27" t="e">
        <f t="shared" si="74"/>
        <v>#N/A</v>
      </c>
      <c r="BO108" s="27" t="e">
        <f t="shared" si="75"/>
        <v>#N/A</v>
      </c>
      <c r="BP108" s="27"/>
      <c r="BQ108" s="27"/>
    </row>
    <row r="109" spans="1:69" x14ac:dyDescent="0.25">
      <c r="A109" s="128"/>
      <c r="B109" s="166"/>
      <c r="C109" s="144"/>
      <c r="D109" s="138" t="e">
        <f>VLOOKUP(G109,[1]!ModTbl,2,0)</f>
        <v>#N/A</v>
      </c>
      <c r="E109" s="138" t="e">
        <f>VLOOKUP(G109,[1]!ModTbl,3,0)</f>
        <v>#N/A</v>
      </c>
      <c r="F109" s="138" t="e">
        <f>VLOOKUP(G109,[1]!ModTbl,4,0)</f>
        <v>#N/A</v>
      </c>
      <c r="G109" s="145"/>
      <c r="H109" s="128"/>
      <c r="I109" s="128"/>
      <c r="J109" s="58" t="e">
        <f>VLOOKUP(G109,[1]!ModTbl,8,0)</f>
        <v>#N/A</v>
      </c>
      <c r="K109" s="58" t="e">
        <f>VLOOKUP(G109,[1]!ModTbl,9,0)</f>
        <v>#N/A</v>
      </c>
      <c r="L109" s="58" t="e">
        <f>VLOOKUP(G109,[1]!ModTbl,10,0)</f>
        <v>#N/A</v>
      </c>
      <c r="M109" s="58">
        <v>0</v>
      </c>
      <c r="N109" s="126" t="e">
        <f t="shared" si="78"/>
        <v>#N/A</v>
      </c>
      <c r="O109" s="126" t="e">
        <f t="shared" si="42"/>
        <v>#N/A</v>
      </c>
      <c r="P109" s="126" t="e">
        <f t="shared" si="43"/>
        <v>#N/A</v>
      </c>
      <c r="Q109" s="126" t="e">
        <f t="shared" si="44"/>
        <v>#N/A</v>
      </c>
      <c r="R109" s="126" t="e">
        <f t="shared" si="45"/>
        <v>#N/A</v>
      </c>
      <c r="S109" s="126" t="e">
        <f t="shared" si="46"/>
        <v>#N/A</v>
      </c>
      <c r="T109" s="126" t="e">
        <f t="shared" si="47"/>
        <v>#N/A</v>
      </c>
      <c r="U109" s="94" t="e">
        <f t="shared" si="48"/>
        <v>#N/A</v>
      </c>
      <c r="V109" s="94" t="e">
        <f t="shared" si="49"/>
        <v>#N/A</v>
      </c>
      <c r="W109" s="94" t="e">
        <f t="shared" si="50"/>
        <v>#N/A</v>
      </c>
      <c r="X109" s="94" t="e">
        <f t="shared" si="51"/>
        <v>#N/A</v>
      </c>
      <c r="Y109" s="95">
        <f t="shared" si="52"/>
        <v>0</v>
      </c>
      <c r="Z109" s="126" t="e">
        <f t="shared" si="53"/>
        <v>#N/A</v>
      </c>
      <c r="AA109" s="126" t="e">
        <f t="shared" si="54"/>
        <v>#N/A</v>
      </c>
      <c r="AB109" s="126" t="e">
        <f t="shared" si="55"/>
        <v>#N/A</v>
      </c>
      <c r="AC109" s="126" t="e">
        <f t="shared" si="56"/>
        <v>#N/A</v>
      </c>
      <c r="AD109" s="126"/>
      <c r="AE109" s="126"/>
      <c r="AF109" s="126"/>
      <c r="AG109" s="126"/>
      <c r="AH109" s="126"/>
      <c r="AI109" s="126">
        <f t="shared" si="79"/>
        <v>0</v>
      </c>
      <c r="AJ109" s="126"/>
      <c r="AK109" s="94" t="e">
        <f t="shared" si="57"/>
        <v>#N/A</v>
      </c>
      <c r="AL109" s="94" t="e">
        <f t="shared" si="58"/>
        <v>#N/A</v>
      </c>
      <c r="AM109" s="94" t="e">
        <f t="shared" si="59"/>
        <v>#N/A</v>
      </c>
      <c r="AN109" s="94" t="e">
        <f t="shared" si="60"/>
        <v>#N/A</v>
      </c>
      <c r="AO109" s="95">
        <f t="shared" si="61"/>
        <v>0</v>
      </c>
      <c r="AP109" s="126" t="e">
        <f t="shared" si="62"/>
        <v>#N/A</v>
      </c>
      <c r="AQ109" s="126" t="e">
        <f t="shared" si="63"/>
        <v>#N/A</v>
      </c>
      <c r="AR109" s="126" t="e">
        <f t="shared" si="64"/>
        <v>#N/A</v>
      </c>
      <c r="AS109" s="126" t="e">
        <f t="shared" si="65"/>
        <v>#N/A</v>
      </c>
      <c r="AT109" s="126">
        <v>0</v>
      </c>
      <c r="AU109" s="126"/>
      <c r="AV109" s="126"/>
      <c r="AW109" s="126"/>
      <c r="AX109" s="126"/>
      <c r="AY109" s="126">
        <f t="shared" si="66"/>
        <v>0</v>
      </c>
      <c r="AZ109" s="127"/>
      <c r="BA109" s="127"/>
      <c r="BB109" s="2"/>
      <c r="BC109" s="27" t="e">
        <f t="shared" si="67"/>
        <v>#N/A</v>
      </c>
      <c r="BD109" s="27" t="e">
        <f t="shared" si="68"/>
        <v>#N/A</v>
      </c>
      <c r="BE109" s="27"/>
      <c r="BF109" s="27">
        <f t="shared" si="69"/>
        <v>0</v>
      </c>
      <c r="BG109" s="27"/>
      <c r="BH109" s="27" t="e">
        <f t="shared" si="70"/>
        <v>#N/A</v>
      </c>
      <c r="BI109" s="27" t="e">
        <f t="shared" si="71"/>
        <v>#N/A</v>
      </c>
      <c r="BJ109" s="27" t="e">
        <f t="shared" si="72"/>
        <v>#N/A</v>
      </c>
      <c r="BK109" s="27"/>
      <c r="BL109" s="27"/>
      <c r="BM109" s="27" t="e">
        <f t="shared" si="73"/>
        <v>#N/A</v>
      </c>
      <c r="BN109" s="27" t="e">
        <f t="shared" si="74"/>
        <v>#N/A</v>
      </c>
      <c r="BO109" s="27" t="e">
        <f t="shared" si="75"/>
        <v>#N/A</v>
      </c>
      <c r="BP109" s="27"/>
      <c r="BQ109" s="27"/>
    </row>
    <row r="110" spans="1:69" x14ac:dyDescent="0.25">
      <c r="A110" s="128"/>
      <c r="B110" s="166"/>
      <c r="C110" s="144"/>
      <c r="D110" s="138" t="e">
        <f>VLOOKUP(G110,[1]!ModTbl,2,0)</f>
        <v>#N/A</v>
      </c>
      <c r="E110" s="138" t="e">
        <f>VLOOKUP(G110,[1]!ModTbl,3,0)</f>
        <v>#N/A</v>
      </c>
      <c r="F110" s="138" t="e">
        <f>VLOOKUP(G110,[1]!ModTbl,4,0)</f>
        <v>#N/A</v>
      </c>
      <c r="G110" s="145"/>
      <c r="H110" s="128"/>
      <c r="I110" s="128"/>
      <c r="J110" s="58" t="e">
        <f>VLOOKUP(G110,[1]!ModTbl,8,0)</f>
        <v>#N/A</v>
      </c>
      <c r="K110" s="58" t="e">
        <f>VLOOKUP(G110,[1]!ModTbl,9,0)</f>
        <v>#N/A</v>
      </c>
      <c r="L110" s="58" t="e">
        <f>VLOOKUP(G110,[1]!ModTbl,10,0)</f>
        <v>#N/A</v>
      </c>
      <c r="M110" s="58">
        <v>0</v>
      </c>
      <c r="N110" s="126" t="e">
        <f t="shared" si="78"/>
        <v>#N/A</v>
      </c>
      <c r="O110" s="126" t="e">
        <f t="shared" si="42"/>
        <v>#N/A</v>
      </c>
      <c r="P110" s="126" t="e">
        <f t="shared" si="43"/>
        <v>#N/A</v>
      </c>
      <c r="Q110" s="126" t="e">
        <f t="shared" si="44"/>
        <v>#N/A</v>
      </c>
      <c r="R110" s="126" t="e">
        <f t="shared" si="45"/>
        <v>#N/A</v>
      </c>
      <c r="S110" s="126" t="e">
        <f t="shared" si="46"/>
        <v>#N/A</v>
      </c>
      <c r="T110" s="126" t="e">
        <f t="shared" si="47"/>
        <v>#N/A</v>
      </c>
      <c r="U110" s="94" t="e">
        <f t="shared" si="48"/>
        <v>#N/A</v>
      </c>
      <c r="V110" s="94" t="e">
        <f t="shared" si="49"/>
        <v>#N/A</v>
      </c>
      <c r="W110" s="94" t="e">
        <f t="shared" si="50"/>
        <v>#N/A</v>
      </c>
      <c r="X110" s="94" t="e">
        <f t="shared" si="51"/>
        <v>#N/A</v>
      </c>
      <c r="Y110" s="95">
        <f t="shared" si="52"/>
        <v>0</v>
      </c>
      <c r="Z110" s="126" t="e">
        <f t="shared" si="53"/>
        <v>#N/A</v>
      </c>
      <c r="AA110" s="126" t="e">
        <f t="shared" si="54"/>
        <v>#N/A</v>
      </c>
      <c r="AB110" s="126" t="e">
        <f t="shared" si="55"/>
        <v>#N/A</v>
      </c>
      <c r="AC110" s="126" t="e">
        <f t="shared" si="56"/>
        <v>#N/A</v>
      </c>
      <c r="AD110" s="126"/>
      <c r="AE110" s="126"/>
      <c r="AF110" s="126"/>
      <c r="AG110" s="126"/>
      <c r="AH110" s="126"/>
      <c r="AI110" s="126">
        <f t="shared" si="79"/>
        <v>0</v>
      </c>
      <c r="AJ110" s="126"/>
      <c r="AK110" s="94" t="e">
        <f t="shared" si="57"/>
        <v>#N/A</v>
      </c>
      <c r="AL110" s="94" t="e">
        <f t="shared" si="58"/>
        <v>#N/A</v>
      </c>
      <c r="AM110" s="94" t="e">
        <f t="shared" si="59"/>
        <v>#N/A</v>
      </c>
      <c r="AN110" s="94" t="e">
        <f t="shared" si="60"/>
        <v>#N/A</v>
      </c>
      <c r="AO110" s="95">
        <f t="shared" si="61"/>
        <v>0</v>
      </c>
      <c r="AP110" s="126" t="e">
        <f t="shared" si="62"/>
        <v>#N/A</v>
      </c>
      <c r="AQ110" s="126" t="e">
        <f t="shared" si="63"/>
        <v>#N/A</v>
      </c>
      <c r="AR110" s="126" t="e">
        <f t="shared" si="64"/>
        <v>#N/A</v>
      </c>
      <c r="AS110" s="126" t="e">
        <f t="shared" si="65"/>
        <v>#N/A</v>
      </c>
      <c r="AT110" s="126">
        <v>0</v>
      </c>
      <c r="AU110" s="126"/>
      <c r="AV110" s="126"/>
      <c r="AW110" s="126"/>
      <c r="AX110" s="126"/>
      <c r="AY110" s="126">
        <f t="shared" si="66"/>
        <v>0</v>
      </c>
      <c r="AZ110" s="127"/>
      <c r="BA110" s="127"/>
      <c r="BB110" s="2"/>
      <c r="BC110" s="27" t="e">
        <f t="shared" si="67"/>
        <v>#N/A</v>
      </c>
      <c r="BD110" s="27" t="e">
        <f t="shared" si="68"/>
        <v>#N/A</v>
      </c>
      <c r="BE110" s="27"/>
      <c r="BF110" s="27">
        <f t="shared" si="69"/>
        <v>0</v>
      </c>
      <c r="BG110" s="27"/>
      <c r="BH110" s="27" t="e">
        <f t="shared" si="70"/>
        <v>#N/A</v>
      </c>
      <c r="BI110" s="27" t="e">
        <f t="shared" si="71"/>
        <v>#N/A</v>
      </c>
      <c r="BJ110" s="27" t="e">
        <f t="shared" si="72"/>
        <v>#N/A</v>
      </c>
      <c r="BK110" s="27"/>
      <c r="BL110" s="27"/>
      <c r="BM110" s="27" t="e">
        <f t="shared" si="73"/>
        <v>#N/A</v>
      </c>
      <c r="BN110" s="27" t="e">
        <f t="shared" si="74"/>
        <v>#N/A</v>
      </c>
      <c r="BO110" s="27" t="e">
        <f t="shared" si="75"/>
        <v>#N/A</v>
      </c>
      <c r="BP110" s="27"/>
      <c r="BQ110" s="27"/>
    </row>
    <row r="111" spans="1:69" x14ac:dyDescent="0.25">
      <c r="A111" s="128"/>
      <c r="B111" s="166"/>
      <c r="C111" s="126"/>
      <c r="D111" s="57" t="e">
        <f>VLOOKUP(G111,[1]!ModTbl,2,0)</f>
        <v>#N/A</v>
      </c>
      <c r="E111" s="57" t="e">
        <f>VLOOKUP(G111,[1]!ModTbl,3,0)</f>
        <v>#N/A</v>
      </c>
      <c r="F111" s="57" t="e">
        <f>VLOOKUP(G111,[1]!ModTbl,4,0)</f>
        <v>#N/A</v>
      </c>
      <c r="G111" s="25"/>
      <c r="H111" s="128"/>
      <c r="I111" s="128"/>
      <c r="J111" s="58" t="e">
        <f>VLOOKUP(G111,[1]!ModTbl,8,0)</f>
        <v>#N/A</v>
      </c>
      <c r="K111" s="58" t="e">
        <f>VLOOKUP(G111,[1]!ModTbl,9,0)</f>
        <v>#N/A</v>
      </c>
      <c r="L111" s="58">
        <v>15</v>
      </c>
      <c r="M111" s="58">
        <v>0</v>
      </c>
      <c r="N111" s="126" t="e">
        <f t="shared" si="78"/>
        <v>#N/A</v>
      </c>
      <c r="O111" s="126" t="e">
        <f t="shared" si="42"/>
        <v>#N/A</v>
      </c>
      <c r="P111" s="126" t="e">
        <f t="shared" si="43"/>
        <v>#N/A</v>
      </c>
      <c r="Q111" s="126" t="e">
        <f t="shared" si="44"/>
        <v>#N/A</v>
      </c>
      <c r="R111" s="126" t="e">
        <f t="shared" si="45"/>
        <v>#N/A</v>
      </c>
      <c r="S111" s="126">
        <f t="shared" si="46"/>
        <v>1</v>
      </c>
      <c r="T111" s="126">
        <f t="shared" si="47"/>
        <v>1</v>
      </c>
      <c r="U111" s="94" t="e">
        <f t="shared" si="48"/>
        <v>#N/A</v>
      </c>
      <c r="V111" s="94" t="e">
        <f t="shared" si="49"/>
        <v>#N/A</v>
      </c>
      <c r="W111" s="94" t="e">
        <f t="shared" si="50"/>
        <v>#N/A</v>
      </c>
      <c r="X111" s="94">
        <f t="shared" si="51"/>
        <v>0</v>
      </c>
      <c r="Y111" s="95">
        <f t="shared" si="52"/>
        <v>0</v>
      </c>
      <c r="Z111" s="126" t="e">
        <f t="shared" si="53"/>
        <v>#N/A</v>
      </c>
      <c r="AA111" s="126" t="e">
        <f t="shared" si="54"/>
        <v>#N/A</v>
      </c>
      <c r="AB111" s="126" t="e">
        <f t="shared" si="55"/>
        <v>#N/A</v>
      </c>
      <c r="AC111" s="126">
        <f t="shared" si="56"/>
        <v>0</v>
      </c>
      <c r="AD111" s="126"/>
      <c r="AE111" s="126"/>
      <c r="AF111" s="126"/>
      <c r="AG111" s="126"/>
      <c r="AH111" s="126"/>
      <c r="AI111" s="126">
        <f t="shared" si="79"/>
        <v>0</v>
      </c>
      <c r="AJ111" s="126"/>
      <c r="AK111" s="94" t="e">
        <f t="shared" si="57"/>
        <v>#N/A</v>
      </c>
      <c r="AL111" s="94" t="e">
        <f t="shared" si="58"/>
        <v>#N/A</v>
      </c>
      <c r="AM111" s="94" t="e">
        <f t="shared" si="59"/>
        <v>#N/A</v>
      </c>
      <c r="AN111" s="94">
        <f t="shared" si="60"/>
        <v>0</v>
      </c>
      <c r="AO111" s="95">
        <f t="shared" si="61"/>
        <v>0</v>
      </c>
      <c r="AP111" s="126" t="e">
        <f t="shared" si="62"/>
        <v>#N/A</v>
      </c>
      <c r="AQ111" s="126" t="e">
        <f t="shared" si="63"/>
        <v>#N/A</v>
      </c>
      <c r="AR111" s="126" t="e">
        <f t="shared" si="64"/>
        <v>#N/A</v>
      </c>
      <c r="AS111" s="126">
        <f t="shared" si="65"/>
        <v>0</v>
      </c>
      <c r="AT111" s="126">
        <v>0</v>
      </c>
      <c r="AU111" s="126"/>
      <c r="AV111" s="126"/>
      <c r="AW111" s="126"/>
      <c r="AX111" s="126"/>
      <c r="AY111" s="126">
        <f t="shared" si="66"/>
        <v>0</v>
      </c>
      <c r="AZ111" s="127"/>
      <c r="BA111" s="127"/>
      <c r="BB111" s="2"/>
      <c r="BC111" s="27" t="e">
        <f t="shared" si="67"/>
        <v>#N/A</v>
      </c>
      <c r="BD111" s="27" t="e">
        <f t="shared" si="68"/>
        <v>#N/A</v>
      </c>
      <c r="BE111" s="27"/>
      <c r="BF111" s="27">
        <f t="shared" si="69"/>
        <v>0</v>
      </c>
      <c r="BG111" s="27"/>
      <c r="BH111" s="27" t="e">
        <f t="shared" si="70"/>
        <v>#N/A</v>
      </c>
      <c r="BI111" s="27" t="e">
        <f t="shared" si="71"/>
        <v>#N/A</v>
      </c>
      <c r="BJ111" s="27">
        <f t="shared" si="72"/>
        <v>0</v>
      </c>
      <c r="BK111" s="27"/>
      <c r="BL111" s="27"/>
      <c r="BM111" s="27" t="e">
        <f t="shared" si="73"/>
        <v>#N/A</v>
      </c>
      <c r="BN111" s="27" t="e">
        <f t="shared" si="74"/>
        <v>#N/A</v>
      </c>
      <c r="BO111" s="27">
        <f t="shared" si="75"/>
        <v>0</v>
      </c>
      <c r="BP111" s="27"/>
      <c r="BQ111" s="27"/>
    </row>
    <row r="112" spans="1:69" x14ac:dyDescent="0.25">
      <c r="A112" s="128"/>
      <c r="B112" s="166"/>
      <c r="C112" s="126"/>
      <c r="D112" s="57" t="e">
        <f>VLOOKUP(G112,[1]!ModTbl,2,0)</f>
        <v>#N/A</v>
      </c>
      <c r="E112" s="57" t="e">
        <f>VLOOKUP(G112,[1]!ModTbl,3,0)</f>
        <v>#N/A</v>
      </c>
      <c r="F112" s="57" t="e">
        <f>VLOOKUP(G112,[1]!ModTbl,4,0)</f>
        <v>#N/A</v>
      </c>
      <c r="G112" s="25"/>
      <c r="H112" s="128"/>
      <c r="I112" s="128"/>
      <c r="J112" s="58" t="e">
        <f>VLOOKUP(G112,[1]!ModTbl,8,0)</f>
        <v>#N/A</v>
      </c>
      <c r="K112" s="58" t="e">
        <f>VLOOKUP(G112,[1]!ModTbl,9,0)</f>
        <v>#N/A</v>
      </c>
      <c r="L112" s="58" t="e">
        <f>VLOOKUP(G112,[1]!ModTbl,10,0)</f>
        <v>#N/A</v>
      </c>
      <c r="M112" s="58">
        <v>0</v>
      </c>
      <c r="N112" s="126" t="e">
        <f t="shared" si="78"/>
        <v>#N/A</v>
      </c>
      <c r="O112" s="126" t="e">
        <f t="shared" si="42"/>
        <v>#N/A</v>
      </c>
      <c r="P112" s="126" t="e">
        <f t="shared" si="43"/>
        <v>#N/A</v>
      </c>
      <c r="Q112" s="126" t="e">
        <f t="shared" si="44"/>
        <v>#N/A</v>
      </c>
      <c r="R112" s="126" t="e">
        <f t="shared" si="45"/>
        <v>#N/A</v>
      </c>
      <c r="S112" s="126" t="e">
        <f t="shared" si="46"/>
        <v>#N/A</v>
      </c>
      <c r="T112" s="126" t="e">
        <f t="shared" si="47"/>
        <v>#N/A</v>
      </c>
      <c r="U112" s="94" t="e">
        <f t="shared" si="48"/>
        <v>#N/A</v>
      </c>
      <c r="V112" s="94" t="e">
        <f t="shared" si="49"/>
        <v>#N/A</v>
      </c>
      <c r="W112" s="94" t="e">
        <f t="shared" si="50"/>
        <v>#N/A</v>
      </c>
      <c r="X112" s="94" t="e">
        <f t="shared" si="51"/>
        <v>#N/A</v>
      </c>
      <c r="Y112" s="95">
        <f t="shared" si="52"/>
        <v>0</v>
      </c>
      <c r="Z112" s="126" t="e">
        <f t="shared" si="53"/>
        <v>#N/A</v>
      </c>
      <c r="AA112" s="126" t="e">
        <f t="shared" si="54"/>
        <v>#N/A</v>
      </c>
      <c r="AB112" s="126" t="e">
        <f t="shared" si="55"/>
        <v>#N/A</v>
      </c>
      <c r="AC112" s="126" t="e">
        <f t="shared" si="56"/>
        <v>#N/A</v>
      </c>
      <c r="AD112" s="126"/>
      <c r="AE112" s="126"/>
      <c r="AF112" s="126"/>
      <c r="AG112" s="126"/>
      <c r="AH112" s="126"/>
      <c r="AI112" s="126">
        <f t="shared" si="79"/>
        <v>0</v>
      </c>
      <c r="AJ112" s="126"/>
      <c r="AK112" s="94" t="e">
        <f t="shared" si="57"/>
        <v>#N/A</v>
      </c>
      <c r="AL112" s="94" t="e">
        <f t="shared" si="58"/>
        <v>#N/A</v>
      </c>
      <c r="AM112" s="94" t="e">
        <f t="shared" si="59"/>
        <v>#N/A</v>
      </c>
      <c r="AN112" s="94" t="e">
        <f t="shared" si="60"/>
        <v>#N/A</v>
      </c>
      <c r="AO112" s="95">
        <f t="shared" si="61"/>
        <v>0</v>
      </c>
      <c r="AP112" s="126" t="e">
        <f t="shared" si="62"/>
        <v>#N/A</v>
      </c>
      <c r="AQ112" s="126" t="e">
        <f t="shared" si="63"/>
        <v>#N/A</v>
      </c>
      <c r="AR112" s="126" t="e">
        <f t="shared" si="64"/>
        <v>#N/A</v>
      </c>
      <c r="AS112" s="126" t="e">
        <f t="shared" si="65"/>
        <v>#N/A</v>
      </c>
      <c r="AT112" s="126">
        <v>0</v>
      </c>
      <c r="AU112" s="126"/>
      <c r="AV112" s="126"/>
      <c r="AW112" s="126"/>
      <c r="AX112" s="126"/>
      <c r="AY112" s="126">
        <f t="shared" si="66"/>
        <v>0</v>
      </c>
      <c r="AZ112" s="127"/>
      <c r="BA112" s="127"/>
      <c r="BB112" s="2"/>
      <c r="BC112" s="27" t="e">
        <f t="shared" si="67"/>
        <v>#N/A</v>
      </c>
      <c r="BD112" s="27" t="e">
        <f t="shared" si="68"/>
        <v>#N/A</v>
      </c>
      <c r="BE112" s="27"/>
      <c r="BF112" s="27">
        <f t="shared" si="69"/>
        <v>0</v>
      </c>
      <c r="BG112" s="27"/>
      <c r="BH112" s="27" t="e">
        <f t="shared" si="70"/>
        <v>#N/A</v>
      </c>
      <c r="BI112" s="27" t="e">
        <f t="shared" si="71"/>
        <v>#N/A</v>
      </c>
      <c r="BJ112" s="27" t="e">
        <f t="shared" si="72"/>
        <v>#N/A</v>
      </c>
      <c r="BK112" s="27"/>
      <c r="BL112" s="27"/>
      <c r="BM112" s="27" t="e">
        <f t="shared" si="73"/>
        <v>#N/A</v>
      </c>
      <c r="BN112" s="27" t="e">
        <f t="shared" si="74"/>
        <v>#N/A</v>
      </c>
      <c r="BO112" s="27" t="e">
        <f t="shared" si="75"/>
        <v>#N/A</v>
      </c>
      <c r="BP112" s="27"/>
      <c r="BQ112" s="27"/>
    </row>
    <row r="113" spans="1:69" x14ac:dyDescent="0.25">
      <c r="A113" s="128"/>
      <c r="B113" s="166"/>
      <c r="C113" s="126"/>
      <c r="D113" s="57" t="e">
        <f>VLOOKUP(G113,[1]!ModTbl,2,0)</f>
        <v>#N/A</v>
      </c>
      <c r="E113" s="57" t="e">
        <f>VLOOKUP(G113,[1]!ModTbl,3,0)</f>
        <v>#N/A</v>
      </c>
      <c r="F113" s="57" t="e">
        <f>VLOOKUP(G113,[1]!ModTbl,4,0)</f>
        <v>#N/A</v>
      </c>
      <c r="G113" s="25"/>
      <c r="H113" s="128"/>
      <c r="I113" s="128"/>
      <c r="J113" s="58" t="e">
        <f>VLOOKUP(G113,[1]!ModTbl,8,0)</f>
        <v>#N/A</v>
      </c>
      <c r="K113" s="58" t="e">
        <f>VLOOKUP(G113,[1]!ModTbl,9,0)</f>
        <v>#N/A</v>
      </c>
      <c r="L113" s="58" t="e">
        <f>VLOOKUP(G113,[1]!ModTbl,10,0)</f>
        <v>#N/A</v>
      </c>
      <c r="M113" s="58">
        <v>0</v>
      </c>
      <c r="N113" s="126" t="e">
        <f t="shared" si="78"/>
        <v>#N/A</v>
      </c>
      <c r="O113" s="126" t="e">
        <f t="shared" si="42"/>
        <v>#N/A</v>
      </c>
      <c r="P113" s="126" t="e">
        <f t="shared" si="43"/>
        <v>#N/A</v>
      </c>
      <c r="Q113" s="126" t="e">
        <f t="shared" si="44"/>
        <v>#N/A</v>
      </c>
      <c r="R113" s="126" t="e">
        <f t="shared" si="45"/>
        <v>#N/A</v>
      </c>
      <c r="S113" s="126" t="e">
        <f t="shared" si="46"/>
        <v>#N/A</v>
      </c>
      <c r="T113" s="126" t="e">
        <f t="shared" si="47"/>
        <v>#N/A</v>
      </c>
      <c r="U113" s="94" t="e">
        <f t="shared" si="48"/>
        <v>#N/A</v>
      </c>
      <c r="V113" s="94" t="e">
        <f t="shared" si="49"/>
        <v>#N/A</v>
      </c>
      <c r="W113" s="94" t="e">
        <f t="shared" si="50"/>
        <v>#N/A</v>
      </c>
      <c r="X113" s="94" t="e">
        <f t="shared" si="51"/>
        <v>#N/A</v>
      </c>
      <c r="Y113" s="95">
        <f t="shared" si="52"/>
        <v>0</v>
      </c>
      <c r="Z113" s="126" t="e">
        <f t="shared" si="53"/>
        <v>#N/A</v>
      </c>
      <c r="AA113" s="126" t="e">
        <f t="shared" si="54"/>
        <v>#N/A</v>
      </c>
      <c r="AB113" s="126" t="e">
        <f t="shared" si="55"/>
        <v>#N/A</v>
      </c>
      <c r="AC113" s="126" t="e">
        <f t="shared" si="56"/>
        <v>#N/A</v>
      </c>
      <c r="AD113" s="126"/>
      <c r="AE113" s="126"/>
      <c r="AF113" s="126"/>
      <c r="AG113" s="126"/>
      <c r="AH113" s="126"/>
      <c r="AI113" s="126">
        <f t="shared" si="79"/>
        <v>0</v>
      </c>
      <c r="AJ113" s="126"/>
      <c r="AK113" s="94" t="e">
        <f t="shared" si="57"/>
        <v>#N/A</v>
      </c>
      <c r="AL113" s="94" t="e">
        <f t="shared" si="58"/>
        <v>#N/A</v>
      </c>
      <c r="AM113" s="94" t="e">
        <f t="shared" si="59"/>
        <v>#N/A</v>
      </c>
      <c r="AN113" s="94" t="e">
        <f t="shared" si="60"/>
        <v>#N/A</v>
      </c>
      <c r="AO113" s="95">
        <f t="shared" si="61"/>
        <v>0</v>
      </c>
      <c r="AP113" s="126" t="e">
        <f t="shared" si="62"/>
        <v>#N/A</v>
      </c>
      <c r="AQ113" s="126" t="e">
        <f t="shared" si="63"/>
        <v>#N/A</v>
      </c>
      <c r="AR113" s="126" t="e">
        <f t="shared" si="64"/>
        <v>#N/A</v>
      </c>
      <c r="AS113" s="126" t="e">
        <f t="shared" si="65"/>
        <v>#N/A</v>
      </c>
      <c r="AT113" s="126">
        <v>0</v>
      </c>
      <c r="AU113" s="126"/>
      <c r="AV113" s="126"/>
      <c r="AW113" s="126"/>
      <c r="AX113" s="126"/>
      <c r="AY113" s="126">
        <f t="shared" si="66"/>
        <v>0</v>
      </c>
      <c r="AZ113" s="127"/>
      <c r="BA113" s="127"/>
      <c r="BB113" s="2"/>
      <c r="BC113" s="27" t="e">
        <f t="shared" si="67"/>
        <v>#N/A</v>
      </c>
      <c r="BD113" s="27" t="e">
        <f t="shared" si="68"/>
        <v>#N/A</v>
      </c>
      <c r="BE113" s="27"/>
      <c r="BF113" s="27">
        <f t="shared" si="69"/>
        <v>0</v>
      </c>
      <c r="BG113" s="27"/>
      <c r="BH113" s="27" t="e">
        <f t="shared" si="70"/>
        <v>#N/A</v>
      </c>
      <c r="BI113" s="27" t="e">
        <f t="shared" si="71"/>
        <v>#N/A</v>
      </c>
      <c r="BJ113" s="27" t="e">
        <f t="shared" si="72"/>
        <v>#N/A</v>
      </c>
      <c r="BK113" s="27"/>
      <c r="BL113" s="27"/>
      <c r="BM113" s="27" t="e">
        <f t="shared" si="73"/>
        <v>#N/A</v>
      </c>
      <c r="BN113" s="27" t="e">
        <f t="shared" si="74"/>
        <v>#N/A</v>
      </c>
      <c r="BO113" s="27" t="e">
        <f t="shared" si="75"/>
        <v>#N/A</v>
      </c>
      <c r="BP113" s="27"/>
      <c r="BQ113" s="27"/>
    </row>
    <row r="114" spans="1:69" x14ac:dyDescent="0.25">
      <c r="A114" s="128"/>
      <c r="B114" s="166"/>
      <c r="C114" s="126"/>
      <c r="D114" s="57" t="e">
        <f>VLOOKUP(G114,[1]!ModTbl,2,0)</f>
        <v>#N/A</v>
      </c>
      <c r="E114" s="57" t="e">
        <f>VLOOKUP(G114,[1]!ModTbl,3,0)</f>
        <v>#N/A</v>
      </c>
      <c r="F114" s="57" t="e">
        <f>VLOOKUP(G114,[1]!ModTbl,4,0)</f>
        <v>#N/A</v>
      </c>
      <c r="G114" s="25"/>
      <c r="H114" s="128"/>
      <c r="I114" s="128"/>
      <c r="J114" s="58" t="e">
        <f>VLOOKUP(G114,[1]!ModTbl,8,0)</f>
        <v>#N/A</v>
      </c>
      <c r="K114" s="58" t="e">
        <f>VLOOKUP(G114,[1]!ModTbl,9,0)</f>
        <v>#N/A</v>
      </c>
      <c r="L114" s="58" t="e">
        <f>VLOOKUP(G114,[1]!ModTbl,10,0)</f>
        <v>#N/A</v>
      </c>
      <c r="M114" s="58">
        <v>0</v>
      </c>
      <c r="N114" s="126" t="e">
        <f t="shared" si="78"/>
        <v>#N/A</v>
      </c>
      <c r="O114" s="126" t="e">
        <f t="shared" si="42"/>
        <v>#N/A</v>
      </c>
      <c r="P114" s="126" t="e">
        <f t="shared" si="43"/>
        <v>#N/A</v>
      </c>
      <c r="Q114" s="126" t="e">
        <f t="shared" si="44"/>
        <v>#N/A</v>
      </c>
      <c r="R114" s="126" t="e">
        <f t="shared" si="45"/>
        <v>#N/A</v>
      </c>
      <c r="S114" s="126" t="e">
        <f t="shared" si="46"/>
        <v>#N/A</v>
      </c>
      <c r="T114" s="126" t="e">
        <f t="shared" si="47"/>
        <v>#N/A</v>
      </c>
      <c r="U114" s="94" t="e">
        <f t="shared" si="48"/>
        <v>#N/A</v>
      </c>
      <c r="V114" s="94" t="e">
        <f t="shared" si="49"/>
        <v>#N/A</v>
      </c>
      <c r="W114" s="94" t="e">
        <f t="shared" si="50"/>
        <v>#N/A</v>
      </c>
      <c r="X114" s="94" t="e">
        <f t="shared" si="51"/>
        <v>#N/A</v>
      </c>
      <c r="Y114" s="95">
        <f t="shared" si="52"/>
        <v>0</v>
      </c>
      <c r="Z114" s="126" t="e">
        <f t="shared" si="53"/>
        <v>#N/A</v>
      </c>
      <c r="AA114" s="126" t="e">
        <f t="shared" si="54"/>
        <v>#N/A</v>
      </c>
      <c r="AB114" s="126" t="e">
        <f t="shared" si="55"/>
        <v>#N/A</v>
      </c>
      <c r="AC114" s="126" t="e">
        <f t="shared" si="56"/>
        <v>#N/A</v>
      </c>
      <c r="AD114" s="126"/>
      <c r="AE114" s="126"/>
      <c r="AF114" s="126"/>
      <c r="AG114" s="126"/>
      <c r="AH114" s="126"/>
      <c r="AI114" s="126">
        <f t="shared" si="79"/>
        <v>0</v>
      </c>
      <c r="AJ114" s="126"/>
      <c r="AK114" s="94" t="e">
        <f t="shared" si="57"/>
        <v>#N/A</v>
      </c>
      <c r="AL114" s="94" t="e">
        <f t="shared" si="58"/>
        <v>#N/A</v>
      </c>
      <c r="AM114" s="94" t="e">
        <f t="shared" si="59"/>
        <v>#N/A</v>
      </c>
      <c r="AN114" s="94" t="e">
        <f t="shared" si="60"/>
        <v>#N/A</v>
      </c>
      <c r="AO114" s="95">
        <f t="shared" si="61"/>
        <v>0</v>
      </c>
      <c r="AP114" s="126" t="e">
        <f t="shared" si="62"/>
        <v>#N/A</v>
      </c>
      <c r="AQ114" s="126" t="e">
        <f t="shared" si="63"/>
        <v>#N/A</v>
      </c>
      <c r="AR114" s="126" t="e">
        <f t="shared" si="64"/>
        <v>#N/A</v>
      </c>
      <c r="AS114" s="126" t="e">
        <f t="shared" si="65"/>
        <v>#N/A</v>
      </c>
      <c r="AT114" s="126">
        <v>0</v>
      </c>
      <c r="AU114" s="126"/>
      <c r="AV114" s="126"/>
      <c r="AW114" s="126"/>
      <c r="AX114" s="126"/>
      <c r="AY114" s="126">
        <f t="shared" si="66"/>
        <v>0</v>
      </c>
      <c r="AZ114" s="127"/>
      <c r="BA114" s="127"/>
      <c r="BB114" s="2"/>
      <c r="BC114" s="27" t="e">
        <f t="shared" si="67"/>
        <v>#N/A</v>
      </c>
      <c r="BD114" s="27" t="e">
        <f t="shared" si="68"/>
        <v>#N/A</v>
      </c>
      <c r="BE114" s="27"/>
      <c r="BF114" s="27">
        <f t="shared" si="69"/>
        <v>0</v>
      </c>
      <c r="BG114" s="27"/>
      <c r="BH114" s="27" t="e">
        <f t="shared" si="70"/>
        <v>#N/A</v>
      </c>
      <c r="BI114" s="27" t="e">
        <f t="shared" si="71"/>
        <v>#N/A</v>
      </c>
      <c r="BJ114" s="27" t="e">
        <f t="shared" si="72"/>
        <v>#N/A</v>
      </c>
      <c r="BK114" s="27"/>
      <c r="BL114" s="27"/>
      <c r="BM114" s="27" t="e">
        <f t="shared" si="73"/>
        <v>#N/A</v>
      </c>
      <c r="BN114" s="27" t="e">
        <f t="shared" si="74"/>
        <v>#N/A</v>
      </c>
      <c r="BO114" s="27" t="e">
        <f t="shared" si="75"/>
        <v>#N/A</v>
      </c>
      <c r="BP114" s="27"/>
      <c r="BQ114" s="27"/>
    </row>
    <row r="115" spans="1:69" x14ac:dyDescent="0.25">
      <c r="A115" s="128"/>
      <c r="B115" s="166"/>
      <c r="C115" s="144"/>
      <c r="D115" s="138" t="e">
        <f>VLOOKUP(G115,[1]!ModTbl,2,0)</f>
        <v>#N/A</v>
      </c>
      <c r="E115" s="138" t="e">
        <f>VLOOKUP(G115,[1]!ModTbl,3,0)</f>
        <v>#N/A</v>
      </c>
      <c r="F115" s="138" t="e">
        <f>VLOOKUP(G115,[1]!ModTbl,4,0)</f>
        <v>#N/A</v>
      </c>
      <c r="G115" s="145"/>
      <c r="H115" s="128"/>
      <c r="I115" s="128"/>
      <c r="J115" s="58" t="e">
        <f>VLOOKUP(G115,[1]!ModTbl,8,0)</f>
        <v>#N/A</v>
      </c>
      <c r="K115" s="58" t="e">
        <f>VLOOKUP(G115,[1]!ModTbl,9,0)</f>
        <v>#N/A</v>
      </c>
      <c r="L115" s="58" t="e">
        <f>VLOOKUP(G115,[1]!ModTbl,10,0)</f>
        <v>#N/A</v>
      </c>
      <c r="M115" s="58">
        <v>0</v>
      </c>
      <c r="N115" s="126" t="e">
        <f t="shared" si="78"/>
        <v>#N/A</v>
      </c>
      <c r="O115" s="126" t="e">
        <f t="shared" si="42"/>
        <v>#N/A</v>
      </c>
      <c r="P115" s="126" t="e">
        <f t="shared" si="43"/>
        <v>#N/A</v>
      </c>
      <c r="Q115" s="126" t="e">
        <f t="shared" si="44"/>
        <v>#N/A</v>
      </c>
      <c r="R115" s="126" t="e">
        <f t="shared" si="45"/>
        <v>#N/A</v>
      </c>
      <c r="S115" s="126" t="e">
        <f t="shared" si="46"/>
        <v>#N/A</v>
      </c>
      <c r="T115" s="126" t="e">
        <f t="shared" si="47"/>
        <v>#N/A</v>
      </c>
      <c r="U115" s="94" t="e">
        <f t="shared" si="48"/>
        <v>#N/A</v>
      </c>
      <c r="V115" s="94" t="e">
        <f t="shared" si="49"/>
        <v>#N/A</v>
      </c>
      <c r="W115" s="94" t="e">
        <f t="shared" si="50"/>
        <v>#N/A</v>
      </c>
      <c r="X115" s="94" t="e">
        <f t="shared" si="51"/>
        <v>#N/A</v>
      </c>
      <c r="Y115" s="95">
        <f t="shared" si="52"/>
        <v>0</v>
      </c>
      <c r="Z115" s="126" t="e">
        <f t="shared" si="53"/>
        <v>#N/A</v>
      </c>
      <c r="AA115" s="126" t="e">
        <f t="shared" si="54"/>
        <v>#N/A</v>
      </c>
      <c r="AB115" s="126" t="e">
        <f t="shared" si="55"/>
        <v>#N/A</v>
      </c>
      <c r="AC115" s="126" t="e">
        <f t="shared" si="56"/>
        <v>#N/A</v>
      </c>
      <c r="AD115" s="126"/>
      <c r="AE115" s="126"/>
      <c r="AF115" s="126"/>
      <c r="AG115" s="126"/>
      <c r="AH115" s="126"/>
      <c r="AI115" s="126">
        <f t="shared" si="79"/>
        <v>0</v>
      </c>
      <c r="AJ115" s="126"/>
      <c r="AK115" s="94" t="e">
        <f t="shared" si="57"/>
        <v>#N/A</v>
      </c>
      <c r="AL115" s="94" t="e">
        <f t="shared" si="58"/>
        <v>#N/A</v>
      </c>
      <c r="AM115" s="94" t="e">
        <f t="shared" si="59"/>
        <v>#N/A</v>
      </c>
      <c r="AN115" s="94" t="e">
        <f t="shared" si="60"/>
        <v>#N/A</v>
      </c>
      <c r="AO115" s="95">
        <f t="shared" si="61"/>
        <v>0</v>
      </c>
      <c r="AP115" s="126" t="e">
        <f t="shared" si="62"/>
        <v>#N/A</v>
      </c>
      <c r="AQ115" s="126" t="e">
        <f t="shared" si="63"/>
        <v>#N/A</v>
      </c>
      <c r="AR115" s="126" t="e">
        <f t="shared" si="64"/>
        <v>#N/A</v>
      </c>
      <c r="AS115" s="126" t="e">
        <f t="shared" si="65"/>
        <v>#N/A</v>
      </c>
      <c r="AT115" s="126">
        <v>0</v>
      </c>
      <c r="AU115" s="126"/>
      <c r="AV115" s="126"/>
      <c r="AW115" s="126"/>
      <c r="AX115" s="126"/>
      <c r="AY115" s="126">
        <f t="shared" si="66"/>
        <v>0</v>
      </c>
      <c r="AZ115" s="127"/>
      <c r="BA115" s="127"/>
      <c r="BB115" s="2"/>
      <c r="BC115" s="27" t="e">
        <f t="shared" si="67"/>
        <v>#N/A</v>
      </c>
      <c r="BD115" s="27" t="e">
        <f t="shared" si="68"/>
        <v>#N/A</v>
      </c>
      <c r="BE115" s="27"/>
      <c r="BF115" s="27">
        <f t="shared" si="69"/>
        <v>0</v>
      </c>
      <c r="BG115" s="27"/>
      <c r="BH115" s="27" t="e">
        <f t="shared" si="70"/>
        <v>#N/A</v>
      </c>
      <c r="BI115" s="27" t="e">
        <f t="shared" si="71"/>
        <v>#N/A</v>
      </c>
      <c r="BJ115" s="27" t="e">
        <f t="shared" si="72"/>
        <v>#N/A</v>
      </c>
      <c r="BK115" s="27"/>
      <c r="BL115" s="27"/>
      <c r="BM115" s="27" t="e">
        <f t="shared" si="73"/>
        <v>#N/A</v>
      </c>
      <c r="BN115" s="27" t="e">
        <f t="shared" si="74"/>
        <v>#N/A</v>
      </c>
      <c r="BO115" s="27" t="e">
        <f t="shared" si="75"/>
        <v>#N/A</v>
      </c>
      <c r="BP115" s="27"/>
      <c r="BQ115" s="27"/>
    </row>
    <row r="116" spans="1:69" x14ac:dyDescent="0.25">
      <c r="A116" s="128"/>
      <c r="B116" s="166"/>
      <c r="C116" s="144"/>
      <c r="D116" s="138" t="e">
        <f>VLOOKUP(G116,[1]!ModTbl,2,0)</f>
        <v>#N/A</v>
      </c>
      <c r="E116" s="138" t="e">
        <f>VLOOKUP(G116,[1]!ModTbl,3,0)</f>
        <v>#N/A</v>
      </c>
      <c r="F116" s="138" t="e">
        <f>VLOOKUP(G116,[1]!ModTbl,4,0)</f>
        <v>#N/A</v>
      </c>
      <c r="G116" s="145"/>
      <c r="H116" s="128"/>
      <c r="I116" s="128"/>
      <c r="J116" s="58" t="e">
        <f>VLOOKUP(G116,[1]!ModTbl,8,0)</f>
        <v>#N/A</v>
      </c>
      <c r="K116" s="58" t="e">
        <f>VLOOKUP(G116,[1]!ModTbl,9,0)</f>
        <v>#N/A</v>
      </c>
      <c r="L116" s="58" t="e">
        <f>VLOOKUP(G116,[1]!ModTbl,10,0)</f>
        <v>#N/A</v>
      </c>
      <c r="M116" s="58">
        <v>0</v>
      </c>
      <c r="N116" s="126" t="e">
        <f t="shared" si="78"/>
        <v>#N/A</v>
      </c>
      <c r="O116" s="126" t="e">
        <f t="shared" si="42"/>
        <v>#N/A</v>
      </c>
      <c r="P116" s="126" t="e">
        <f t="shared" si="43"/>
        <v>#N/A</v>
      </c>
      <c r="Q116" s="126" t="e">
        <f t="shared" si="44"/>
        <v>#N/A</v>
      </c>
      <c r="R116" s="126" t="e">
        <f t="shared" si="45"/>
        <v>#N/A</v>
      </c>
      <c r="S116" s="126" t="e">
        <f t="shared" si="46"/>
        <v>#N/A</v>
      </c>
      <c r="T116" s="126" t="e">
        <f t="shared" si="47"/>
        <v>#N/A</v>
      </c>
      <c r="U116" s="94" t="e">
        <f t="shared" si="48"/>
        <v>#N/A</v>
      </c>
      <c r="V116" s="94" t="e">
        <f t="shared" si="49"/>
        <v>#N/A</v>
      </c>
      <c r="W116" s="94" t="e">
        <f t="shared" si="50"/>
        <v>#N/A</v>
      </c>
      <c r="X116" s="94" t="e">
        <f t="shared" si="51"/>
        <v>#N/A</v>
      </c>
      <c r="Y116" s="95">
        <f t="shared" si="52"/>
        <v>0</v>
      </c>
      <c r="Z116" s="126" t="e">
        <f t="shared" si="53"/>
        <v>#N/A</v>
      </c>
      <c r="AA116" s="126" t="e">
        <f t="shared" si="54"/>
        <v>#N/A</v>
      </c>
      <c r="AB116" s="126" t="e">
        <f t="shared" si="55"/>
        <v>#N/A</v>
      </c>
      <c r="AC116" s="126" t="e">
        <f t="shared" si="56"/>
        <v>#N/A</v>
      </c>
      <c r="AD116" s="126"/>
      <c r="AE116" s="126"/>
      <c r="AF116" s="126"/>
      <c r="AG116" s="126"/>
      <c r="AH116" s="126"/>
      <c r="AI116" s="126">
        <f t="shared" si="79"/>
        <v>0</v>
      </c>
      <c r="AJ116" s="126"/>
      <c r="AK116" s="94" t="e">
        <f t="shared" si="57"/>
        <v>#N/A</v>
      </c>
      <c r="AL116" s="94" t="e">
        <f t="shared" si="58"/>
        <v>#N/A</v>
      </c>
      <c r="AM116" s="94" t="e">
        <f t="shared" si="59"/>
        <v>#N/A</v>
      </c>
      <c r="AN116" s="94" t="e">
        <f t="shared" si="60"/>
        <v>#N/A</v>
      </c>
      <c r="AO116" s="95">
        <f t="shared" si="61"/>
        <v>0</v>
      </c>
      <c r="AP116" s="126" t="e">
        <f t="shared" si="62"/>
        <v>#N/A</v>
      </c>
      <c r="AQ116" s="126" t="e">
        <f t="shared" si="63"/>
        <v>#N/A</v>
      </c>
      <c r="AR116" s="126" t="e">
        <f t="shared" si="64"/>
        <v>#N/A</v>
      </c>
      <c r="AS116" s="126" t="e">
        <f t="shared" si="65"/>
        <v>#N/A</v>
      </c>
      <c r="AT116" s="126">
        <v>0</v>
      </c>
      <c r="AU116" s="126"/>
      <c r="AV116" s="126"/>
      <c r="AW116" s="126"/>
      <c r="AX116" s="126"/>
      <c r="AY116" s="126">
        <f t="shared" si="66"/>
        <v>0</v>
      </c>
      <c r="AZ116" s="127"/>
      <c r="BA116" s="127"/>
      <c r="BB116" s="2"/>
      <c r="BC116" s="27" t="e">
        <f t="shared" si="67"/>
        <v>#N/A</v>
      </c>
      <c r="BD116" s="27" t="e">
        <f t="shared" si="68"/>
        <v>#N/A</v>
      </c>
      <c r="BE116" s="27"/>
      <c r="BF116" s="27">
        <f t="shared" si="69"/>
        <v>0</v>
      </c>
      <c r="BG116" s="27"/>
      <c r="BH116" s="27" t="e">
        <f t="shared" si="70"/>
        <v>#N/A</v>
      </c>
      <c r="BI116" s="27" t="e">
        <f t="shared" si="71"/>
        <v>#N/A</v>
      </c>
      <c r="BJ116" s="27" t="e">
        <f t="shared" si="72"/>
        <v>#N/A</v>
      </c>
      <c r="BK116" s="27"/>
      <c r="BL116" s="27"/>
      <c r="BM116" s="27" t="e">
        <f t="shared" si="73"/>
        <v>#N/A</v>
      </c>
      <c r="BN116" s="27" t="e">
        <f t="shared" si="74"/>
        <v>#N/A</v>
      </c>
      <c r="BO116" s="27" t="e">
        <f t="shared" si="75"/>
        <v>#N/A</v>
      </c>
      <c r="BP116" s="27"/>
      <c r="BQ116" s="27"/>
    </row>
    <row r="117" spans="1:69" x14ac:dyDescent="0.25">
      <c r="A117" s="128"/>
      <c r="B117" s="166"/>
      <c r="C117" s="144"/>
      <c r="D117" s="138" t="e">
        <f>VLOOKUP(G117,[1]!ModTbl,2,0)</f>
        <v>#N/A</v>
      </c>
      <c r="E117" s="138" t="e">
        <f>VLOOKUP(G117,[1]!ModTbl,3,0)</f>
        <v>#N/A</v>
      </c>
      <c r="F117" s="138" t="e">
        <f>VLOOKUP(G117,[1]!ModTbl,4,0)</f>
        <v>#N/A</v>
      </c>
      <c r="G117" s="145"/>
      <c r="H117" s="128"/>
      <c r="I117" s="128"/>
      <c r="J117" s="58" t="e">
        <f>VLOOKUP(G117,[1]!ModTbl,8,0)</f>
        <v>#N/A</v>
      </c>
      <c r="K117" s="58" t="e">
        <f>VLOOKUP(G117,[1]!ModTbl,9,0)</f>
        <v>#N/A</v>
      </c>
      <c r="L117" s="58" t="e">
        <f>VLOOKUP(G117,[1]!ModTbl,10,0)</f>
        <v>#N/A</v>
      </c>
      <c r="M117" s="58">
        <v>0</v>
      </c>
      <c r="N117" s="126" t="e">
        <f t="shared" si="78"/>
        <v>#N/A</v>
      </c>
      <c r="O117" s="126" t="e">
        <f t="shared" si="42"/>
        <v>#N/A</v>
      </c>
      <c r="P117" s="126" t="e">
        <f t="shared" si="43"/>
        <v>#N/A</v>
      </c>
      <c r="Q117" s="126" t="e">
        <f t="shared" si="44"/>
        <v>#N/A</v>
      </c>
      <c r="R117" s="126" t="e">
        <f t="shared" si="45"/>
        <v>#N/A</v>
      </c>
      <c r="S117" s="126" t="e">
        <f t="shared" si="46"/>
        <v>#N/A</v>
      </c>
      <c r="T117" s="126" t="e">
        <f t="shared" si="47"/>
        <v>#N/A</v>
      </c>
      <c r="U117" s="94" t="e">
        <f t="shared" si="48"/>
        <v>#N/A</v>
      </c>
      <c r="V117" s="94" t="e">
        <f t="shared" si="49"/>
        <v>#N/A</v>
      </c>
      <c r="W117" s="94" t="e">
        <f t="shared" si="50"/>
        <v>#N/A</v>
      </c>
      <c r="X117" s="94" t="e">
        <f t="shared" si="51"/>
        <v>#N/A</v>
      </c>
      <c r="Y117" s="95">
        <f t="shared" si="52"/>
        <v>0</v>
      </c>
      <c r="Z117" s="126" t="e">
        <f t="shared" si="53"/>
        <v>#N/A</v>
      </c>
      <c r="AA117" s="126" t="e">
        <f t="shared" si="54"/>
        <v>#N/A</v>
      </c>
      <c r="AB117" s="126" t="e">
        <f t="shared" si="55"/>
        <v>#N/A</v>
      </c>
      <c r="AC117" s="126" t="e">
        <f t="shared" si="56"/>
        <v>#N/A</v>
      </c>
      <c r="AD117" s="126"/>
      <c r="AE117" s="126"/>
      <c r="AF117" s="126"/>
      <c r="AG117" s="126"/>
      <c r="AH117" s="126"/>
      <c r="AI117" s="126">
        <f t="shared" si="79"/>
        <v>0</v>
      </c>
      <c r="AJ117" s="126"/>
      <c r="AK117" s="94" t="e">
        <f t="shared" si="57"/>
        <v>#N/A</v>
      </c>
      <c r="AL117" s="94" t="e">
        <f t="shared" si="58"/>
        <v>#N/A</v>
      </c>
      <c r="AM117" s="94" t="e">
        <f t="shared" si="59"/>
        <v>#N/A</v>
      </c>
      <c r="AN117" s="94" t="e">
        <f t="shared" si="60"/>
        <v>#N/A</v>
      </c>
      <c r="AO117" s="95">
        <f t="shared" si="61"/>
        <v>0</v>
      </c>
      <c r="AP117" s="126" t="e">
        <f t="shared" si="62"/>
        <v>#N/A</v>
      </c>
      <c r="AQ117" s="126" t="e">
        <f t="shared" si="63"/>
        <v>#N/A</v>
      </c>
      <c r="AR117" s="126" t="e">
        <f t="shared" si="64"/>
        <v>#N/A</v>
      </c>
      <c r="AS117" s="126" t="e">
        <f t="shared" si="65"/>
        <v>#N/A</v>
      </c>
      <c r="AT117" s="126">
        <v>0</v>
      </c>
      <c r="AU117" s="126"/>
      <c r="AV117" s="126"/>
      <c r="AW117" s="126"/>
      <c r="AX117" s="126"/>
      <c r="AY117" s="126">
        <f t="shared" si="66"/>
        <v>0</v>
      </c>
      <c r="AZ117" s="127"/>
      <c r="BA117" s="127"/>
      <c r="BB117" s="2"/>
      <c r="BC117" s="27" t="e">
        <f t="shared" si="67"/>
        <v>#N/A</v>
      </c>
      <c r="BD117" s="27" t="e">
        <f t="shared" si="68"/>
        <v>#N/A</v>
      </c>
      <c r="BE117" s="27"/>
      <c r="BF117" s="27">
        <f t="shared" si="69"/>
        <v>0</v>
      </c>
      <c r="BG117" s="27"/>
      <c r="BH117" s="27" t="e">
        <f t="shared" si="70"/>
        <v>#N/A</v>
      </c>
      <c r="BI117" s="27" t="e">
        <f t="shared" si="71"/>
        <v>#N/A</v>
      </c>
      <c r="BJ117" s="27" t="e">
        <f t="shared" si="72"/>
        <v>#N/A</v>
      </c>
      <c r="BK117" s="27"/>
      <c r="BL117" s="27"/>
      <c r="BM117" s="27" t="e">
        <f t="shared" si="73"/>
        <v>#N/A</v>
      </c>
      <c r="BN117" s="27" t="e">
        <f t="shared" si="74"/>
        <v>#N/A</v>
      </c>
      <c r="BO117" s="27" t="e">
        <f t="shared" si="75"/>
        <v>#N/A</v>
      </c>
      <c r="BP117" s="27"/>
      <c r="BQ117" s="27"/>
    </row>
    <row r="118" spans="1:69" x14ac:dyDescent="0.25">
      <c r="A118" s="128"/>
      <c r="B118" s="166"/>
      <c r="C118" s="144"/>
      <c r="D118" s="138" t="e">
        <f>VLOOKUP(G118,[1]!ModTbl,2,0)</f>
        <v>#N/A</v>
      </c>
      <c r="E118" s="138" t="e">
        <f>VLOOKUP(G118,[1]!ModTbl,3,0)</f>
        <v>#N/A</v>
      </c>
      <c r="F118" s="138" t="e">
        <f>VLOOKUP(G118,[1]!ModTbl,4,0)</f>
        <v>#N/A</v>
      </c>
      <c r="G118" s="145"/>
      <c r="H118" s="128"/>
      <c r="I118" s="128"/>
      <c r="J118" s="58" t="e">
        <f>VLOOKUP(G118,[1]!ModTbl,8,0)</f>
        <v>#N/A</v>
      </c>
      <c r="K118" s="58" t="e">
        <f>VLOOKUP(G118,[1]!ModTbl,9,0)</f>
        <v>#N/A</v>
      </c>
      <c r="L118" s="58" t="e">
        <f>VLOOKUP(G118,[1]!ModTbl,10,0)</f>
        <v>#N/A</v>
      </c>
      <c r="M118" s="58">
        <v>0</v>
      </c>
      <c r="N118" s="126" t="e">
        <f t="shared" si="78"/>
        <v>#N/A</v>
      </c>
      <c r="O118" s="126" t="e">
        <f t="shared" si="42"/>
        <v>#N/A</v>
      </c>
      <c r="P118" s="126" t="e">
        <f t="shared" si="43"/>
        <v>#N/A</v>
      </c>
      <c r="Q118" s="126" t="e">
        <f t="shared" si="44"/>
        <v>#N/A</v>
      </c>
      <c r="R118" s="126" t="e">
        <f t="shared" si="45"/>
        <v>#N/A</v>
      </c>
      <c r="S118" s="126" t="e">
        <f t="shared" si="46"/>
        <v>#N/A</v>
      </c>
      <c r="T118" s="126" t="e">
        <f t="shared" si="47"/>
        <v>#N/A</v>
      </c>
      <c r="U118" s="94" t="e">
        <f t="shared" si="48"/>
        <v>#N/A</v>
      </c>
      <c r="V118" s="94" t="e">
        <f t="shared" si="49"/>
        <v>#N/A</v>
      </c>
      <c r="W118" s="94" t="e">
        <f t="shared" si="50"/>
        <v>#N/A</v>
      </c>
      <c r="X118" s="94" t="e">
        <f t="shared" si="51"/>
        <v>#N/A</v>
      </c>
      <c r="Y118" s="95">
        <f t="shared" si="52"/>
        <v>0</v>
      </c>
      <c r="Z118" s="126" t="e">
        <f t="shared" si="53"/>
        <v>#N/A</v>
      </c>
      <c r="AA118" s="126" t="e">
        <f t="shared" si="54"/>
        <v>#N/A</v>
      </c>
      <c r="AB118" s="126" t="e">
        <f t="shared" si="55"/>
        <v>#N/A</v>
      </c>
      <c r="AC118" s="126" t="e">
        <f t="shared" si="56"/>
        <v>#N/A</v>
      </c>
      <c r="AD118" s="126"/>
      <c r="AE118" s="126"/>
      <c r="AF118" s="126"/>
      <c r="AG118" s="126"/>
      <c r="AH118" s="126"/>
      <c r="AI118" s="126">
        <f t="shared" si="79"/>
        <v>0</v>
      </c>
      <c r="AJ118" s="126"/>
      <c r="AK118" s="94" t="e">
        <f t="shared" si="57"/>
        <v>#N/A</v>
      </c>
      <c r="AL118" s="94" t="e">
        <f t="shared" si="58"/>
        <v>#N/A</v>
      </c>
      <c r="AM118" s="94" t="e">
        <f t="shared" si="59"/>
        <v>#N/A</v>
      </c>
      <c r="AN118" s="94" t="e">
        <f t="shared" si="60"/>
        <v>#N/A</v>
      </c>
      <c r="AO118" s="95">
        <f t="shared" si="61"/>
        <v>0</v>
      </c>
      <c r="AP118" s="126" t="e">
        <f t="shared" si="62"/>
        <v>#N/A</v>
      </c>
      <c r="AQ118" s="126" t="e">
        <f t="shared" si="63"/>
        <v>#N/A</v>
      </c>
      <c r="AR118" s="126" t="e">
        <f t="shared" si="64"/>
        <v>#N/A</v>
      </c>
      <c r="AS118" s="126" t="e">
        <f t="shared" si="65"/>
        <v>#N/A</v>
      </c>
      <c r="AT118" s="126">
        <v>0</v>
      </c>
      <c r="AU118" s="126"/>
      <c r="AV118" s="126"/>
      <c r="AW118" s="126"/>
      <c r="AX118" s="126"/>
      <c r="AY118" s="126">
        <f t="shared" si="66"/>
        <v>0</v>
      </c>
      <c r="AZ118" s="127"/>
      <c r="BA118" s="127"/>
      <c r="BB118" s="2"/>
      <c r="BC118" s="27" t="e">
        <f t="shared" si="67"/>
        <v>#N/A</v>
      </c>
      <c r="BD118" s="27" t="e">
        <f t="shared" si="68"/>
        <v>#N/A</v>
      </c>
      <c r="BE118" s="27"/>
      <c r="BF118" s="27">
        <f t="shared" si="69"/>
        <v>0</v>
      </c>
      <c r="BG118" s="27"/>
      <c r="BH118" s="27" t="e">
        <f t="shared" si="70"/>
        <v>#N/A</v>
      </c>
      <c r="BI118" s="27" t="e">
        <f t="shared" si="71"/>
        <v>#N/A</v>
      </c>
      <c r="BJ118" s="27" t="e">
        <f t="shared" si="72"/>
        <v>#N/A</v>
      </c>
      <c r="BK118" s="27"/>
      <c r="BL118" s="27"/>
      <c r="BM118" s="27" t="e">
        <f t="shared" si="73"/>
        <v>#N/A</v>
      </c>
      <c r="BN118" s="27" t="e">
        <f t="shared" si="74"/>
        <v>#N/A</v>
      </c>
      <c r="BO118" s="27" t="e">
        <f t="shared" si="75"/>
        <v>#N/A</v>
      </c>
      <c r="BP118" s="27"/>
      <c r="BQ118" s="27"/>
    </row>
    <row r="119" spans="1:69" x14ac:dyDescent="0.25">
      <c r="A119" s="128"/>
      <c r="B119" s="166"/>
      <c r="C119" s="144"/>
      <c r="D119" s="138" t="e">
        <f>VLOOKUP(G119,[1]!ModTbl,2,0)</f>
        <v>#N/A</v>
      </c>
      <c r="E119" s="138" t="e">
        <f>VLOOKUP(G119,[1]!ModTbl,3,0)</f>
        <v>#N/A</v>
      </c>
      <c r="F119" s="138" t="e">
        <f>VLOOKUP(G119,[1]!ModTbl,4,0)</f>
        <v>#N/A</v>
      </c>
      <c r="G119" s="145"/>
      <c r="H119" s="128"/>
      <c r="I119" s="128"/>
      <c r="J119" s="58" t="e">
        <f>VLOOKUP(G119,[1]!ModTbl,8,0)</f>
        <v>#N/A</v>
      </c>
      <c r="K119" s="58" t="e">
        <f>VLOOKUP(G119,[1]!ModTbl,9,0)</f>
        <v>#N/A</v>
      </c>
      <c r="L119" s="58" t="e">
        <f>VLOOKUP(G119,[1]!ModTbl,10,0)</f>
        <v>#N/A</v>
      </c>
      <c r="M119" s="58">
        <v>0</v>
      </c>
      <c r="N119" s="126" t="e">
        <f t="shared" si="78"/>
        <v>#N/A</v>
      </c>
      <c r="O119" s="126" t="e">
        <f t="shared" si="42"/>
        <v>#N/A</v>
      </c>
      <c r="P119" s="126" t="e">
        <f t="shared" si="43"/>
        <v>#N/A</v>
      </c>
      <c r="Q119" s="126" t="e">
        <f t="shared" si="44"/>
        <v>#N/A</v>
      </c>
      <c r="R119" s="126" t="e">
        <f t="shared" si="45"/>
        <v>#N/A</v>
      </c>
      <c r="S119" s="126" t="e">
        <f t="shared" si="46"/>
        <v>#N/A</v>
      </c>
      <c r="T119" s="126" t="e">
        <f t="shared" si="47"/>
        <v>#N/A</v>
      </c>
      <c r="U119" s="94" t="e">
        <f t="shared" si="48"/>
        <v>#N/A</v>
      </c>
      <c r="V119" s="94" t="e">
        <f t="shared" si="49"/>
        <v>#N/A</v>
      </c>
      <c r="W119" s="94" t="e">
        <f t="shared" si="50"/>
        <v>#N/A</v>
      </c>
      <c r="X119" s="94" t="e">
        <f t="shared" si="51"/>
        <v>#N/A</v>
      </c>
      <c r="Y119" s="95">
        <f t="shared" si="52"/>
        <v>0</v>
      </c>
      <c r="Z119" s="126" t="e">
        <f t="shared" si="53"/>
        <v>#N/A</v>
      </c>
      <c r="AA119" s="126" t="e">
        <f t="shared" si="54"/>
        <v>#N/A</v>
      </c>
      <c r="AB119" s="126" t="e">
        <f t="shared" si="55"/>
        <v>#N/A</v>
      </c>
      <c r="AC119" s="126" t="e">
        <f t="shared" si="56"/>
        <v>#N/A</v>
      </c>
      <c r="AD119" s="126"/>
      <c r="AE119" s="126"/>
      <c r="AF119" s="126"/>
      <c r="AG119" s="126"/>
      <c r="AH119" s="126"/>
      <c r="AI119" s="126">
        <f t="shared" si="79"/>
        <v>0</v>
      </c>
      <c r="AJ119" s="126"/>
      <c r="AK119" s="94" t="e">
        <f t="shared" si="57"/>
        <v>#N/A</v>
      </c>
      <c r="AL119" s="94" t="e">
        <f t="shared" si="58"/>
        <v>#N/A</v>
      </c>
      <c r="AM119" s="94" t="e">
        <f t="shared" si="59"/>
        <v>#N/A</v>
      </c>
      <c r="AN119" s="94" t="e">
        <f t="shared" si="60"/>
        <v>#N/A</v>
      </c>
      <c r="AO119" s="95">
        <f t="shared" si="61"/>
        <v>0</v>
      </c>
      <c r="AP119" s="126" t="e">
        <f t="shared" si="62"/>
        <v>#N/A</v>
      </c>
      <c r="AQ119" s="126" t="e">
        <f t="shared" si="63"/>
        <v>#N/A</v>
      </c>
      <c r="AR119" s="126" t="e">
        <f t="shared" si="64"/>
        <v>#N/A</v>
      </c>
      <c r="AS119" s="126" t="e">
        <f t="shared" si="65"/>
        <v>#N/A</v>
      </c>
      <c r="AT119" s="126">
        <v>0</v>
      </c>
      <c r="AU119" s="126"/>
      <c r="AV119" s="126"/>
      <c r="AW119" s="126"/>
      <c r="AX119" s="126"/>
      <c r="AY119" s="126">
        <f t="shared" si="66"/>
        <v>0</v>
      </c>
      <c r="AZ119" s="127"/>
      <c r="BA119" s="127"/>
      <c r="BB119" s="2"/>
      <c r="BC119" s="27" t="e">
        <f t="shared" si="67"/>
        <v>#N/A</v>
      </c>
      <c r="BD119" s="27" t="e">
        <f t="shared" si="68"/>
        <v>#N/A</v>
      </c>
      <c r="BE119" s="27"/>
      <c r="BF119" s="27">
        <f t="shared" si="69"/>
        <v>0</v>
      </c>
      <c r="BG119" s="27"/>
      <c r="BH119" s="27" t="e">
        <f t="shared" si="70"/>
        <v>#N/A</v>
      </c>
      <c r="BI119" s="27" t="e">
        <f t="shared" si="71"/>
        <v>#N/A</v>
      </c>
      <c r="BJ119" s="27" t="e">
        <f t="shared" si="72"/>
        <v>#N/A</v>
      </c>
      <c r="BK119" s="27"/>
      <c r="BL119" s="27"/>
      <c r="BM119" s="27" t="e">
        <f t="shared" si="73"/>
        <v>#N/A</v>
      </c>
      <c r="BN119" s="27" t="e">
        <f t="shared" si="74"/>
        <v>#N/A</v>
      </c>
      <c r="BO119" s="27" t="e">
        <f t="shared" si="75"/>
        <v>#N/A</v>
      </c>
      <c r="BP119" s="27"/>
      <c r="BQ119" s="27"/>
    </row>
    <row r="120" spans="1:69" x14ac:dyDescent="0.25">
      <c r="A120" s="128"/>
      <c r="B120" s="166"/>
      <c r="C120" s="126"/>
      <c r="D120" s="57" t="e">
        <f>VLOOKUP(G120,[1]!ModTbl,2,0)</f>
        <v>#N/A</v>
      </c>
      <c r="E120" s="57" t="e">
        <f>VLOOKUP(G120,[1]!ModTbl,3,0)</f>
        <v>#N/A</v>
      </c>
      <c r="F120" s="57" t="e">
        <f>VLOOKUP(G120,[1]!ModTbl,4,0)</f>
        <v>#N/A</v>
      </c>
      <c r="G120" s="25"/>
      <c r="H120" s="128"/>
      <c r="I120" s="128"/>
      <c r="J120" s="58" t="e">
        <f>VLOOKUP(G120,[1]!ModTbl,8,0)</f>
        <v>#N/A</v>
      </c>
      <c r="K120" s="58" t="e">
        <f>VLOOKUP(G120,[1]!ModTbl,9,0)</f>
        <v>#N/A</v>
      </c>
      <c r="L120" s="58" t="e">
        <f>VLOOKUP(G120,[1]!ModTbl,10,0)</f>
        <v>#N/A</v>
      </c>
      <c r="M120" s="58">
        <v>0</v>
      </c>
      <c r="N120" s="126" t="e">
        <f t="shared" si="78"/>
        <v>#N/A</v>
      </c>
      <c r="O120" s="126" t="e">
        <f t="shared" si="42"/>
        <v>#N/A</v>
      </c>
      <c r="P120" s="126" t="e">
        <f t="shared" si="43"/>
        <v>#N/A</v>
      </c>
      <c r="Q120" s="126" t="e">
        <f t="shared" si="44"/>
        <v>#N/A</v>
      </c>
      <c r="R120" s="126" t="e">
        <f t="shared" si="45"/>
        <v>#N/A</v>
      </c>
      <c r="S120" s="126" t="e">
        <f t="shared" si="46"/>
        <v>#N/A</v>
      </c>
      <c r="T120" s="126" t="e">
        <f t="shared" si="47"/>
        <v>#N/A</v>
      </c>
      <c r="U120" s="94" t="e">
        <f t="shared" si="48"/>
        <v>#N/A</v>
      </c>
      <c r="V120" s="94" t="e">
        <f t="shared" si="49"/>
        <v>#N/A</v>
      </c>
      <c r="W120" s="94" t="e">
        <f t="shared" si="50"/>
        <v>#N/A</v>
      </c>
      <c r="X120" s="94" t="e">
        <f t="shared" si="51"/>
        <v>#N/A</v>
      </c>
      <c r="Y120" s="95">
        <f t="shared" si="52"/>
        <v>0</v>
      </c>
      <c r="Z120" s="126" t="e">
        <f t="shared" si="53"/>
        <v>#N/A</v>
      </c>
      <c r="AA120" s="126" t="e">
        <f t="shared" si="54"/>
        <v>#N/A</v>
      </c>
      <c r="AB120" s="126" t="e">
        <f t="shared" si="55"/>
        <v>#N/A</v>
      </c>
      <c r="AC120" s="126" t="e">
        <f t="shared" si="56"/>
        <v>#N/A</v>
      </c>
      <c r="AD120" s="126"/>
      <c r="AE120" s="126"/>
      <c r="AF120" s="126"/>
      <c r="AG120" s="126"/>
      <c r="AH120" s="126"/>
      <c r="AI120" s="126">
        <f t="shared" si="79"/>
        <v>0</v>
      </c>
      <c r="AJ120" s="126"/>
      <c r="AK120" s="94" t="e">
        <f t="shared" si="57"/>
        <v>#N/A</v>
      </c>
      <c r="AL120" s="94" t="e">
        <f t="shared" si="58"/>
        <v>#N/A</v>
      </c>
      <c r="AM120" s="94" t="e">
        <f t="shared" si="59"/>
        <v>#N/A</v>
      </c>
      <c r="AN120" s="94" t="e">
        <f t="shared" si="60"/>
        <v>#N/A</v>
      </c>
      <c r="AO120" s="95">
        <f t="shared" si="61"/>
        <v>0</v>
      </c>
      <c r="AP120" s="126" t="e">
        <f t="shared" si="62"/>
        <v>#N/A</v>
      </c>
      <c r="AQ120" s="126" t="e">
        <f t="shared" si="63"/>
        <v>#N/A</v>
      </c>
      <c r="AR120" s="126" t="e">
        <f t="shared" si="64"/>
        <v>#N/A</v>
      </c>
      <c r="AS120" s="126" t="e">
        <f t="shared" si="65"/>
        <v>#N/A</v>
      </c>
      <c r="AT120" s="126">
        <v>0</v>
      </c>
      <c r="AU120" s="126"/>
      <c r="AV120" s="126"/>
      <c r="AW120" s="126"/>
      <c r="AX120" s="126"/>
      <c r="AY120" s="126">
        <f t="shared" si="66"/>
        <v>0</v>
      </c>
      <c r="AZ120" s="127"/>
      <c r="BA120" s="127"/>
      <c r="BB120" s="2"/>
      <c r="BC120" s="27" t="e">
        <f t="shared" si="67"/>
        <v>#N/A</v>
      </c>
      <c r="BD120" s="27" t="e">
        <f t="shared" si="68"/>
        <v>#N/A</v>
      </c>
      <c r="BE120" s="27"/>
      <c r="BF120" s="27">
        <f t="shared" si="69"/>
        <v>0</v>
      </c>
      <c r="BG120" s="27"/>
      <c r="BH120" s="27" t="e">
        <f t="shared" si="70"/>
        <v>#N/A</v>
      </c>
      <c r="BI120" s="27" t="e">
        <f t="shared" si="71"/>
        <v>#N/A</v>
      </c>
      <c r="BJ120" s="27" t="e">
        <f t="shared" si="72"/>
        <v>#N/A</v>
      </c>
      <c r="BK120" s="27"/>
      <c r="BL120" s="27"/>
      <c r="BM120" s="27" t="e">
        <f t="shared" si="73"/>
        <v>#N/A</v>
      </c>
      <c r="BN120" s="27" t="e">
        <f t="shared" si="74"/>
        <v>#N/A</v>
      </c>
      <c r="BO120" s="27" t="e">
        <f t="shared" si="75"/>
        <v>#N/A</v>
      </c>
      <c r="BP120" s="27"/>
      <c r="BQ120" s="27"/>
    </row>
    <row r="121" spans="1:69" x14ac:dyDescent="0.25">
      <c r="A121" s="128"/>
      <c r="B121" s="166"/>
      <c r="C121" s="126"/>
      <c r="D121" s="57" t="e">
        <f>VLOOKUP(G121,[1]!ModTbl,2,0)</f>
        <v>#N/A</v>
      </c>
      <c r="E121" s="57" t="e">
        <f>VLOOKUP(G121,[1]!ModTbl,3,0)</f>
        <v>#N/A</v>
      </c>
      <c r="F121" s="57" t="e">
        <f>VLOOKUP(G121,[1]!ModTbl,4,0)</f>
        <v>#N/A</v>
      </c>
      <c r="G121" s="25"/>
      <c r="H121" s="128"/>
      <c r="I121" s="128"/>
      <c r="J121" s="58" t="e">
        <f>VLOOKUP(G121,[1]!ModTbl,8,0)</f>
        <v>#N/A</v>
      </c>
      <c r="K121" s="58" t="e">
        <f>VLOOKUP(G121,[1]!ModTbl,9,0)</f>
        <v>#N/A</v>
      </c>
      <c r="L121" s="58" t="e">
        <f>VLOOKUP(G121,[1]!ModTbl,10,0)</f>
        <v>#N/A</v>
      </c>
      <c r="M121" s="58">
        <v>0</v>
      </c>
      <c r="N121" s="126" t="e">
        <f t="shared" ref="N121" si="80">SUM(J121:L121)</f>
        <v>#N/A</v>
      </c>
      <c r="O121" s="126" t="e">
        <f t="shared" si="42"/>
        <v>#N/A</v>
      </c>
      <c r="P121" s="126" t="e">
        <f t="shared" si="43"/>
        <v>#N/A</v>
      </c>
      <c r="Q121" s="126" t="e">
        <f t="shared" si="44"/>
        <v>#N/A</v>
      </c>
      <c r="R121" s="126" t="e">
        <f t="shared" si="45"/>
        <v>#N/A</v>
      </c>
      <c r="S121" s="126" t="e">
        <f t="shared" si="46"/>
        <v>#N/A</v>
      </c>
      <c r="T121" s="126" t="e">
        <f t="shared" si="47"/>
        <v>#N/A</v>
      </c>
      <c r="U121" s="94" t="e">
        <f t="shared" si="48"/>
        <v>#N/A</v>
      </c>
      <c r="V121" s="94" t="e">
        <f t="shared" si="49"/>
        <v>#N/A</v>
      </c>
      <c r="W121" s="94" t="e">
        <f t="shared" si="50"/>
        <v>#N/A</v>
      </c>
      <c r="X121" s="94" t="e">
        <f t="shared" si="51"/>
        <v>#N/A</v>
      </c>
      <c r="Y121" s="95">
        <f t="shared" si="52"/>
        <v>0</v>
      </c>
      <c r="Z121" s="126" t="e">
        <f t="shared" si="53"/>
        <v>#N/A</v>
      </c>
      <c r="AA121" s="126" t="e">
        <f t="shared" si="54"/>
        <v>#N/A</v>
      </c>
      <c r="AB121" s="126" t="e">
        <f t="shared" si="55"/>
        <v>#N/A</v>
      </c>
      <c r="AC121" s="126" t="e">
        <f t="shared" si="56"/>
        <v>#N/A</v>
      </c>
      <c r="AD121" s="126"/>
      <c r="AE121" s="126"/>
      <c r="AF121" s="126"/>
      <c r="AG121" s="126"/>
      <c r="AH121" s="126"/>
      <c r="AI121" s="126">
        <f t="shared" ref="AI121" si="81">SUM(AE121:AH121)</f>
        <v>0</v>
      </c>
      <c r="AJ121" s="126"/>
      <c r="AK121" s="94" t="e">
        <f t="shared" si="57"/>
        <v>#N/A</v>
      </c>
      <c r="AL121" s="94" t="e">
        <f t="shared" si="58"/>
        <v>#N/A</v>
      </c>
      <c r="AM121" s="94" t="e">
        <f t="shared" si="59"/>
        <v>#N/A</v>
      </c>
      <c r="AN121" s="94" t="e">
        <f t="shared" si="60"/>
        <v>#N/A</v>
      </c>
      <c r="AO121" s="95">
        <f t="shared" si="61"/>
        <v>0</v>
      </c>
      <c r="AP121" s="126" t="e">
        <f t="shared" si="62"/>
        <v>#N/A</v>
      </c>
      <c r="AQ121" s="126" t="e">
        <f t="shared" si="63"/>
        <v>#N/A</v>
      </c>
      <c r="AR121" s="126" t="e">
        <f t="shared" si="64"/>
        <v>#N/A</v>
      </c>
      <c r="AS121" s="126" t="e">
        <f t="shared" si="65"/>
        <v>#N/A</v>
      </c>
      <c r="AT121" s="126">
        <v>0</v>
      </c>
      <c r="AU121" s="126"/>
      <c r="AV121" s="126"/>
      <c r="AW121" s="126"/>
      <c r="AX121" s="126"/>
      <c r="AY121" s="126">
        <f t="shared" si="66"/>
        <v>0</v>
      </c>
      <c r="AZ121" s="127"/>
      <c r="BA121" s="127"/>
      <c r="BB121" s="2"/>
      <c r="BC121" s="27" t="e">
        <f t="shared" si="67"/>
        <v>#N/A</v>
      </c>
      <c r="BD121" s="27" t="e">
        <f t="shared" si="68"/>
        <v>#N/A</v>
      </c>
      <c r="BE121" s="27"/>
      <c r="BF121" s="27">
        <f t="shared" si="69"/>
        <v>0</v>
      </c>
      <c r="BG121" s="27"/>
      <c r="BH121" s="27" t="e">
        <f t="shared" si="70"/>
        <v>#N/A</v>
      </c>
      <c r="BI121" s="27" t="e">
        <f t="shared" si="71"/>
        <v>#N/A</v>
      </c>
      <c r="BJ121" s="27" t="e">
        <f t="shared" si="72"/>
        <v>#N/A</v>
      </c>
      <c r="BK121" s="27"/>
      <c r="BL121" s="27"/>
      <c r="BM121" s="27" t="e">
        <f t="shared" si="73"/>
        <v>#N/A</v>
      </c>
      <c r="BN121" s="27" t="e">
        <f t="shared" si="74"/>
        <v>#N/A</v>
      </c>
      <c r="BO121" s="27" t="e">
        <f t="shared" si="75"/>
        <v>#N/A</v>
      </c>
      <c r="BP121" s="27"/>
      <c r="BQ121" s="27"/>
    </row>
    <row r="122" spans="1:69" x14ac:dyDescent="0.25">
      <c r="A122" s="128"/>
      <c r="B122" s="166"/>
      <c r="C122" s="126"/>
      <c r="D122" s="57" t="e">
        <f>VLOOKUP(G122,[1]!ModTbl,2,0)</f>
        <v>#N/A</v>
      </c>
      <c r="E122" s="57" t="e">
        <f>VLOOKUP(G122,[1]!ModTbl,3,0)</f>
        <v>#N/A</v>
      </c>
      <c r="F122" s="57" t="e">
        <f>VLOOKUP(G122,[1]!ModTbl,4,0)</f>
        <v>#N/A</v>
      </c>
      <c r="G122" s="25"/>
      <c r="H122" s="128"/>
      <c r="I122" s="128"/>
      <c r="J122" s="58" t="e">
        <f>VLOOKUP(G122,[1]!ModTbl,8,0)</f>
        <v>#N/A</v>
      </c>
      <c r="K122" s="58" t="e">
        <f>VLOOKUP(G122,[1]!ModTbl,9,0)</f>
        <v>#N/A</v>
      </c>
      <c r="L122" s="58" t="e">
        <f>VLOOKUP(G122,[1]!ModTbl,10,0)</f>
        <v>#N/A</v>
      </c>
      <c r="M122" s="58">
        <v>0</v>
      </c>
      <c r="N122" s="126" t="e">
        <f t="shared" ref="N122:N140" si="82">SUM(J122:L122)</f>
        <v>#N/A</v>
      </c>
      <c r="O122" s="126" t="e">
        <f t="shared" si="42"/>
        <v>#N/A</v>
      </c>
      <c r="P122" s="126" t="e">
        <f t="shared" si="43"/>
        <v>#N/A</v>
      </c>
      <c r="Q122" s="126" t="e">
        <f t="shared" si="44"/>
        <v>#N/A</v>
      </c>
      <c r="R122" s="126" t="e">
        <f t="shared" si="45"/>
        <v>#N/A</v>
      </c>
      <c r="S122" s="126" t="e">
        <f t="shared" si="46"/>
        <v>#N/A</v>
      </c>
      <c r="T122" s="126" t="e">
        <f t="shared" si="47"/>
        <v>#N/A</v>
      </c>
      <c r="U122" s="94" t="e">
        <f t="shared" si="48"/>
        <v>#N/A</v>
      </c>
      <c r="V122" s="94" t="e">
        <f t="shared" si="49"/>
        <v>#N/A</v>
      </c>
      <c r="W122" s="94" t="e">
        <f t="shared" si="50"/>
        <v>#N/A</v>
      </c>
      <c r="X122" s="94" t="e">
        <f t="shared" si="51"/>
        <v>#N/A</v>
      </c>
      <c r="Y122" s="95">
        <f t="shared" si="52"/>
        <v>0</v>
      </c>
      <c r="Z122" s="126" t="e">
        <f t="shared" si="53"/>
        <v>#N/A</v>
      </c>
      <c r="AA122" s="126" t="e">
        <f t="shared" si="54"/>
        <v>#N/A</v>
      </c>
      <c r="AB122" s="126" t="e">
        <f t="shared" si="55"/>
        <v>#N/A</v>
      </c>
      <c r="AC122" s="126" t="e">
        <f t="shared" si="56"/>
        <v>#N/A</v>
      </c>
      <c r="AD122" s="126"/>
      <c r="AE122" s="126"/>
      <c r="AF122" s="126"/>
      <c r="AG122" s="126"/>
      <c r="AH122" s="126"/>
      <c r="AI122" s="126">
        <f t="shared" ref="AI122:AI140" si="83">SUM(AE122:AH122)</f>
        <v>0</v>
      </c>
      <c r="AJ122" s="126"/>
      <c r="AK122" s="94" t="e">
        <f t="shared" si="57"/>
        <v>#N/A</v>
      </c>
      <c r="AL122" s="94" t="e">
        <f t="shared" si="58"/>
        <v>#N/A</v>
      </c>
      <c r="AM122" s="94" t="e">
        <f t="shared" si="59"/>
        <v>#N/A</v>
      </c>
      <c r="AN122" s="94" t="e">
        <f t="shared" si="60"/>
        <v>#N/A</v>
      </c>
      <c r="AO122" s="95">
        <f t="shared" si="61"/>
        <v>0</v>
      </c>
      <c r="AP122" s="126" t="e">
        <f t="shared" si="62"/>
        <v>#N/A</v>
      </c>
      <c r="AQ122" s="126" t="e">
        <f t="shared" si="63"/>
        <v>#N/A</v>
      </c>
      <c r="AR122" s="126" t="e">
        <f t="shared" si="64"/>
        <v>#N/A</v>
      </c>
      <c r="AS122" s="126" t="e">
        <f t="shared" si="65"/>
        <v>#N/A</v>
      </c>
      <c r="AT122" s="126">
        <v>0</v>
      </c>
      <c r="AU122" s="126"/>
      <c r="AV122" s="126"/>
      <c r="AW122" s="126"/>
      <c r="AX122" s="126"/>
      <c r="AY122" s="126">
        <f t="shared" si="66"/>
        <v>0</v>
      </c>
      <c r="AZ122" s="127"/>
      <c r="BA122" s="127"/>
      <c r="BB122" s="2"/>
      <c r="BC122" s="27" t="e">
        <f t="shared" si="67"/>
        <v>#N/A</v>
      </c>
      <c r="BD122" s="27" t="e">
        <f t="shared" si="68"/>
        <v>#N/A</v>
      </c>
      <c r="BE122" s="27"/>
      <c r="BF122" s="27">
        <f t="shared" si="69"/>
        <v>0</v>
      </c>
      <c r="BG122" s="27"/>
      <c r="BH122" s="27" t="e">
        <f t="shared" si="70"/>
        <v>#N/A</v>
      </c>
      <c r="BI122" s="27" t="e">
        <f t="shared" si="71"/>
        <v>#N/A</v>
      </c>
      <c r="BJ122" s="27" t="e">
        <f t="shared" si="72"/>
        <v>#N/A</v>
      </c>
      <c r="BK122" s="27"/>
      <c r="BL122" s="27"/>
      <c r="BM122" s="27" t="e">
        <f t="shared" si="73"/>
        <v>#N/A</v>
      </c>
      <c r="BN122" s="27" t="e">
        <f t="shared" si="74"/>
        <v>#N/A</v>
      </c>
      <c r="BO122" s="27" t="e">
        <f t="shared" si="75"/>
        <v>#N/A</v>
      </c>
      <c r="BP122" s="27"/>
      <c r="BQ122" s="27"/>
    </row>
    <row r="123" spans="1:69" x14ac:dyDescent="0.25">
      <c r="A123" s="128"/>
      <c r="B123" s="166"/>
      <c r="C123" s="126"/>
      <c r="D123" s="57" t="e">
        <f>VLOOKUP(G123,[1]!ModTbl,2,0)</f>
        <v>#N/A</v>
      </c>
      <c r="E123" s="57" t="e">
        <f>VLOOKUP(G123,[1]!ModTbl,3,0)</f>
        <v>#N/A</v>
      </c>
      <c r="F123" s="57" t="e">
        <f>VLOOKUP(G123,[1]!ModTbl,4,0)</f>
        <v>#N/A</v>
      </c>
      <c r="G123" s="25"/>
      <c r="H123" s="128"/>
      <c r="I123" s="128"/>
      <c r="J123" s="58" t="e">
        <f>VLOOKUP(G123,[1]!ModTbl,8,0)</f>
        <v>#N/A</v>
      </c>
      <c r="K123" s="58" t="e">
        <f>VLOOKUP(G123,[1]!ModTbl,9,0)</f>
        <v>#N/A</v>
      </c>
      <c r="L123" s="58" t="e">
        <f>VLOOKUP(G123,[1]!ModTbl,10,0)</f>
        <v>#N/A</v>
      </c>
      <c r="M123" s="58">
        <v>0</v>
      </c>
      <c r="N123" s="126" t="e">
        <f t="shared" si="82"/>
        <v>#N/A</v>
      </c>
      <c r="O123" s="126" t="e">
        <f t="shared" si="42"/>
        <v>#N/A</v>
      </c>
      <c r="P123" s="126" t="e">
        <f t="shared" si="43"/>
        <v>#N/A</v>
      </c>
      <c r="Q123" s="126" t="e">
        <f t="shared" si="44"/>
        <v>#N/A</v>
      </c>
      <c r="R123" s="126" t="e">
        <f t="shared" si="45"/>
        <v>#N/A</v>
      </c>
      <c r="S123" s="126" t="e">
        <f t="shared" si="46"/>
        <v>#N/A</v>
      </c>
      <c r="T123" s="126" t="e">
        <f t="shared" si="47"/>
        <v>#N/A</v>
      </c>
      <c r="U123" s="94" t="e">
        <f t="shared" si="48"/>
        <v>#N/A</v>
      </c>
      <c r="V123" s="94" t="e">
        <f t="shared" si="49"/>
        <v>#N/A</v>
      </c>
      <c r="W123" s="94" t="e">
        <f t="shared" si="50"/>
        <v>#N/A</v>
      </c>
      <c r="X123" s="94" t="e">
        <f t="shared" si="51"/>
        <v>#N/A</v>
      </c>
      <c r="Y123" s="95">
        <f t="shared" si="52"/>
        <v>0</v>
      </c>
      <c r="Z123" s="126" t="e">
        <f t="shared" si="53"/>
        <v>#N/A</v>
      </c>
      <c r="AA123" s="126" t="e">
        <f t="shared" si="54"/>
        <v>#N/A</v>
      </c>
      <c r="AB123" s="126" t="e">
        <f t="shared" si="55"/>
        <v>#N/A</v>
      </c>
      <c r="AC123" s="126" t="e">
        <f t="shared" si="56"/>
        <v>#N/A</v>
      </c>
      <c r="AD123" s="126"/>
      <c r="AE123" s="126"/>
      <c r="AF123" s="126"/>
      <c r="AG123" s="126"/>
      <c r="AH123" s="126"/>
      <c r="AI123" s="126">
        <f t="shared" si="83"/>
        <v>0</v>
      </c>
      <c r="AJ123" s="126"/>
      <c r="AK123" s="94" t="e">
        <f t="shared" si="57"/>
        <v>#N/A</v>
      </c>
      <c r="AL123" s="94" t="e">
        <f t="shared" si="58"/>
        <v>#N/A</v>
      </c>
      <c r="AM123" s="94" t="e">
        <f t="shared" si="59"/>
        <v>#N/A</v>
      </c>
      <c r="AN123" s="94" t="e">
        <f t="shared" si="60"/>
        <v>#N/A</v>
      </c>
      <c r="AO123" s="95">
        <f t="shared" si="61"/>
        <v>0</v>
      </c>
      <c r="AP123" s="126" t="e">
        <f t="shared" si="62"/>
        <v>#N/A</v>
      </c>
      <c r="AQ123" s="126" t="e">
        <f t="shared" si="63"/>
        <v>#N/A</v>
      </c>
      <c r="AR123" s="126" t="e">
        <f t="shared" si="64"/>
        <v>#N/A</v>
      </c>
      <c r="AS123" s="126" t="e">
        <f t="shared" si="65"/>
        <v>#N/A</v>
      </c>
      <c r="AT123" s="126">
        <v>0</v>
      </c>
      <c r="AU123" s="126"/>
      <c r="AV123" s="126"/>
      <c r="AW123" s="126"/>
      <c r="AX123" s="126"/>
      <c r="AY123" s="126">
        <f t="shared" si="66"/>
        <v>0</v>
      </c>
      <c r="AZ123" s="127"/>
      <c r="BA123" s="127"/>
      <c r="BB123" s="2"/>
      <c r="BC123" s="27" t="e">
        <f t="shared" si="67"/>
        <v>#N/A</v>
      </c>
      <c r="BD123" s="27" t="e">
        <f t="shared" si="68"/>
        <v>#N/A</v>
      </c>
      <c r="BE123" s="27"/>
      <c r="BF123" s="27">
        <f t="shared" si="69"/>
        <v>0</v>
      </c>
      <c r="BG123" s="27"/>
      <c r="BH123" s="27" t="e">
        <f t="shared" si="70"/>
        <v>#N/A</v>
      </c>
      <c r="BI123" s="27" t="e">
        <f t="shared" si="71"/>
        <v>#N/A</v>
      </c>
      <c r="BJ123" s="27" t="e">
        <f t="shared" si="72"/>
        <v>#N/A</v>
      </c>
      <c r="BK123" s="27"/>
      <c r="BL123" s="27"/>
      <c r="BM123" s="27" t="e">
        <f t="shared" si="73"/>
        <v>#N/A</v>
      </c>
      <c r="BN123" s="27" t="e">
        <f t="shared" si="74"/>
        <v>#N/A</v>
      </c>
      <c r="BO123" s="27" t="e">
        <f t="shared" si="75"/>
        <v>#N/A</v>
      </c>
      <c r="BP123" s="27"/>
      <c r="BQ123" s="27"/>
    </row>
    <row r="124" spans="1:69" x14ac:dyDescent="0.25">
      <c r="A124" s="128"/>
      <c r="B124" s="166"/>
      <c r="C124" s="126"/>
      <c r="D124" s="57" t="e">
        <f>VLOOKUP(G124,[1]!ModTbl,2,0)</f>
        <v>#N/A</v>
      </c>
      <c r="E124" s="57" t="e">
        <f>VLOOKUP(G124,[1]!ModTbl,3,0)</f>
        <v>#N/A</v>
      </c>
      <c r="F124" s="57" t="e">
        <f>VLOOKUP(G124,[1]!ModTbl,4,0)</f>
        <v>#N/A</v>
      </c>
      <c r="G124" s="25"/>
      <c r="H124" s="128"/>
      <c r="I124" s="128"/>
      <c r="J124" s="58" t="e">
        <f>VLOOKUP(G124,[1]!ModTbl,8,0)</f>
        <v>#N/A</v>
      </c>
      <c r="K124" s="58" t="e">
        <f>VLOOKUP(G124,[1]!ModTbl,9,0)</f>
        <v>#N/A</v>
      </c>
      <c r="L124" s="58" t="e">
        <f>VLOOKUP(G124,[1]!ModTbl,10,0)</f>
        <v>#N/A</v>
      </c>
      <c r="M124" s="58">
        <v>0</v>
      </c>
      <c r="N124" s="126" t="e">
        <f t="shared" si="82"/>
        <v>#N/A</v>
      </c>
      <c r="O124" s="126" t="e">
        <f t="shared" si="42"/>
        <v>#N/A</v>
      </c>
      <c r="P124" s="126" t="e">
        <f t="shared" si="43"/>
        <v>#N/A</v>
      </c>
      <c r="Q124" s="126" t="e">
        <f t="shared" si="44"/>
        <v>#N/A</v>
      </c>
      <c r="R124" s="126" t="e">
        <f t="shared" si="45"/>
        <v>#N/A</v>
      </c>
      <c r="S124" s="126" t="e">
        <f t="shared" si="46"/>
        <v>#N/A</v>
      </c>
      <c r="T124" s="126" t="e">
        <f t="shared" si="47"/>
        <v>#N/A</v>
      </c>
      <c r="U124" s="94" t="e">
        <f t="shared" si="48"/>
        <v>#N/A</v>
      </c>
      <c r="V124" s="94" t="e">
        <f t="shared" si="49"/>
        <v>#N/A</v>
      </c>
      <c r="W124" s="94" t="e">
        <f t="shared" si="50"/>
        <v>#N/A</v>
      </c>
      <c r="X124" s="94" t="e">
        <f t="shared" si="51"/>
        <v>#N/A</v>
      </c>
      <c r="Y124" s="95">
        <f t="shared" si="52"/>
        <v>0</v>
      </c>
      <c r="Z124" s="126" t="e">
        <f t="shared" si="53"/>
        <v>#N/A</v>
      </c>
      <c r="AA124" s="126" t="e">
        <f t="shared" si="54"/>
        <v>#N/A</v>
      </c>
      <c r="AB124" s="126" t="e">
        <f t="shared" si="55"/>
        <v>#N/A</v>
      </c>
      <c r="AC124" s="126" t="e">
        <f t="shared" si="56"/>
        <v>#N/A</v>
      </c>
      <c r="AD124" s="126"/>
      <c r="AE124" s="126"/>
      <c r="AF124" s="126"/>
      <c r="AG124" s="126"/>
      <c r="AH124" s="126"/>
      <c r="AI124" s="126">
        <f t="shared" si="83"/>
        <v>0</v>
      </c>
      <c r="AJ124" s="126"/>
      <c r="AK124" s="94" t="e">
        <f t="shared" si="57"/>
        <v>#N/A</v>
      </c>
      <c r="AL124" s="94" t="e">
        <f t="shared" si="58"/>
        <v>#N/A</v>
      </c>
      <c r="AM124" s="94" t="e">
        <f t="shared" si="59"/>
        <v>#N/A</v>
      </c>
      <c r="AN124" s="94" t="e">
        <f t="shared" si="60"/>
        <v>#N/A</v>
      </c>
      <c r="AO124" s="95">
        <f t="shared" si="61"/>
        <v>0</v>
      </c>
      <c r="AP124" s="126" t="e">
        <f t="shared" si="62"/>
        <v>#N/A</v>
      </c>
      <c r="AQ124" s="126" t="e">
        <f t="shared" si="63"/>
        <v>#N/A</v>
      </c>
      <c r="AR124" s="126" t="e">
        <f t="shared" si="64"/>
        <v>#N/A</v>
      </c>
      <c r="AS124" s="126" t="e">
        <f t="shared" si="65"/>
        <v>#N/A</v>
      </c>
      <c r="AT124" s="126">
        <v>0</v>
      </c>
      <c r="AU124" s="126"/>
      <c r="AV124" s="126"/>
      <c r="AW124" s="126"/>
      <c r="AX124" s="126"/>
      <c r="AY124" s="126">
        <f t="shared" si="66"/>
        <v>0</v>
      </c>
      <c r="AZ124" s="127"/>
      <c r="BA124" s="127"/>
      <c r="BB124" s="2"/>
      <c r="BC124" s="27" t="e">
        <f t="shared" si="67"/>
        <v>#N/A</v>
      </c>
      <c r="BD124" s="27" t="e">
        <f t="shared" si="68"/>
        <v>#N/A</v>
      </c>
      <c r="BE124" s="27"/>
      <c r="BF124" s="27">
        <f t="shared" si="69"/>
        <v>0</v>
      </c>
      <c r="BG124" s="27"/>
      <c r="BH124" s="27" t="e">
        <f t="shared" si="70"/>
        <v>#N/A</v>
      </c>
      <c r="BI124" s="27" t="e">
        <f t="shared" si="71"/>
        <v>#N/A</v>
      </c>
      <c r="BJ124" s="27" t="e">
        <f t="shared" si="72"/>
        <v>#N/A</v>
      </c>
      <c r="BK124" s="27"/>
      <c r="BL124" s="27"/>
      <c r="BM124" s="27" t="e">
        <f t="shared" si="73"/>
        <v>#N/A</v>
      </c>
      <c r="BN124" s="27" t="e">
        <f t="shared" si="74"/>
        <v>#N/A</v>
      </c>
      <c r="BO124" s="27" t="e">
        <f t="shared" si="75"/>
        <v>#N/A</v>
      </c>
      <c r="BP124" s="27"/>
      <c r="BQ124" s="27"/>
    </row>
    <row r="125" spans="1:69" x14ac:dyDescent="0.25">
      <c r="A125" s="128"/>
      <c r="B125" s="166"/>
      <c r="C125" s="126"/>
      <c r="D125" s="57" t="e">
        <f>VLOOKUP(G125,[1]!ModTbl,2,0)</f>
        <v>#N/A</v>
      </c>
      <c r="E125" s="57" t="e">
        <f>VLOOKUP(G125,[1]!ModTbl,3,0)</f>
        <v>#N/A</v>
      </c>
      <c r="F125" s="57" t="e">
        <f>VLOOKUP(G125,[1]!ModTbl,4,0)</f>
        <v>#N/A</v>
      </c>
      <c r="G125" s="25"/>
      <c r="H125" s="128"/>
      <c r="I125" s="128"/>
      <c r="J125" s="58" t="e">
        <f>VLOOKUP(G125,[1]!ModTbl,8,0)</f>
        <v>#N/A</v>
      </c>
      <c r="K125" s="58" t="e">
        <f>VLOOKUP(G125,[1]!ModTbl,9,0)</f>
        <v>#N/A</v>
      </c>
      <c r="L125" s="58" t="e">
        <f>VLOOKUP(G125,[1]!ModTbl,10,0)</f>
        <v>#N/A</v>
      </c>
      <c r="M125" s="58">
        <v>0</v>
      </c>
      <c r="N125" s="126" t="e">
        <f t="shared" si="82"/>
        <v>#N/A</v>
      </c>
      <c r="O125" s="126" t="e">
        <f t="shared" si="42"/>
        <v>#N/A</v>
      </c>
      <c r="P125" s="126" t="e">
        <f t="shared" si="43"/>
        <v>#N/A</v>
      </c>
      <c r="Q125" s="126" t="e">
        <f t="shared" si="44"/>
        <v>#N/A</v>
      </c>
      <c r="R125" s="126" t="e">
        <f t="shared" si="45"/>
        <v>#N/A</v>
      </c>
      <c r="S125" s="126" t="e">
        <f t="shared" si="46"/>
        <v>#N/A</v>
      </c>
      <c r="T125" s="126" t="e">
        <f t="shared" si="47"/>
        <v>#N/A</v>
      </c>
      <c r="U125" s="94" t="e">
        <f t="shared" si="48"/>
        <v>#N/A</v>
      </c>
      <c r="V125" s="94" t="e">
        <f t="shared" si="49"/>
        <v>#N/A</v>
      </c>
      <c r="W125" s="94" t="e">
        <f t="shared" si="50"/>
        <v>#N/A</v>
      </c>
      <c r="X125" s="94" t="e">
        <f t="shared" si="51"/>
        <v>#N/A</v>
      </c>
      <c r="Y125" s="95">
        <f t="shared" si="52"/>
        <v>0</v>
      </c>
      <c r="Z125" s="126" t="e">
        <f t="shared" si="53"/>
        <v>#N/A</v>
      </c>
      <c r="AA125" s="126" t="e">
        <f t="shared" si="54"/>
        <v>#N/A</v>
      </c>
      <c r="AB125" s="126" t="e">
        <f t="shared" si="55"/>
        <v>#N/A</v>
      </c>
      <c r="AC125" s="126" t="e">
        <f t="shared" si="56"/>
        <v>#N/A</v>
      </c>
      <c r="AD125" s="126"/>
      <c r="AE125" s="126"/>
      <c r="AF125" s="126"/>
      <c r="AG125" s="126"/>
      <c r="AH125" s="126"/>
      <c r="AI125" s="126">
        <f t="shared" si="83"/>
        <v>0</v>
      </c>
      <c r="AJ125" s="126"/>
      <c r="AK125" s="94" t="e">
        <f t="shared" si="57"/>
        <v>#N/A</v>
      </c>
      <c r="AL125" s="94" t="e">
        <f t="shared" si="58"/>
        <v>#N/A</v>
      </c>
      <c r="AM125" s="94" t="e">
        <f t="shared" si="59"/>
        <v>#N/A</v>
      </c>
      <c r="AN125" s="94" t="e">
        <f t="shared" si="60"/>
        <v>#N/A</v>
      </c>
      <c r="AO125" s="95">
        <f t="shared" si="61"/>
        <v>0</v>
      </c>
      <c r="AP125" s="126" t="e">
        <f t="shared" si="62"/>
        <v>#N/A</v>
      </c>
      <c r="AQ125" s="126" t="e">
        <f t="shared" si="63"/>
        <v>#N/A</v>
      </c>
      <c r="AR125" s="126" t="e">
        <f t="shared" si="64"/>
        <v>#N/A</v>
      </c>
      <c r="AS125" s="126" t="e">
        <f t="shared" si="65"/>
        <v>#N/A</v>
      </c>
      <c r="AT125" s="126">
        <v>0</v>
      </c>
      <c r="AU125" s="126"/>
      <c r="AV125" s="126"/>
      <c r="AW125" s="126"/>
      <c r="AX125" s="126"/>
      <c r="AY125" s="126">
        <f t="shared" si="66"/>
        <v>0</v>
      </c>
      <c r="AZ125" s="127"/>
      <c r="BA125" s="127"/>
      <c r="BB125" s="2"/>
      <c r="BC125" s="27" t="e">
        <f t="shared" si="67"/>
        <v>#N/A</v>
      </c>
      <c r="BD125" s="27" t="e">
        <f t="shared" si="68"/>
        <v>#N/A</v>
      </c>
      <c r="BE125" s="27"/>
      <c r="BF125" s="27">
        <f t="shared" si="69"/>
        <v>0</v>
      </c>
      <c r="BG125" s="27"/>
      <c r="BH125" s="27" t="e">
        <f t="shared" si="70"/>
        <v>#N/A</v>
      </c>
      <c r="BI125" s="27" t="e">
        <f t="shared" si="71"/>
        <v>#N/A</v>
      </c>
      <c r="BJ125" s="27" t="e">
        <f t="shared" si="72"/>
        <v>#N/A</v>
      </c>
      <c r="BK125" s="27"/>
      <c r="BL125" s="27"/>
      <c r="BM125" s="27" t="e">
        <f t="shared" si="73"/>
        <v>#N/A</v>
      </c>
      <c r="BN125" s="27" t="e">
        <f t="shared" si="74"/>
        <v>#N/A</v>
      </c>
      <c r="BO125" s="27" t="e">
        <f t="shared" si="75"/>
        <v>#N/A</v>
      </c>
      <c r="BP125" s="27"/>
      <c r="BQ125" s="27"/>
    </row>
    <row r="126" spans="1:69" x14ac:dyDescent="0.25">
      <c r="A126" s="128"/>
      <c r="B126" s="166"/>
      <c r="C126" s="126"/>
      <c r="D126" s="57" t="e">
        <f>VLOOKUP(G126,[1]!ModTbl,2,0)</f>
        <v>#N/A</v>
      </c>
      <c r="E126" s="57" t="e">
        <f>VLOOKUP(G126,[1]!ModTbl,3,0)</f>
        <v>#N/A</v>
      </c>
      <c r="F126" s="57" t="e">
        <f>VLOOKUP(G126,[1]!ModTbl,4,0)</f>
        <v>#N/A</v>
      </c>
      <c r="G126" s="25"/>
      <c r="H126" s="128"/>
      <c r="I126" s="128"/>
      <c r="J126" s="58" t="e">
        <f>VLOOKUP(G126,[1]!ModTbl,8,0)</f>
        <v>#N/A</v>
      </c>
      <c r="K126" s="58" t="e">
        <f>VLOOKUP(G126,[1]!ModTbl,9,0)</f>
        <v>#N/A</v>
      </c>
      <c r="L126" s="58" t="e">
        <f>VLOOKUP(G126,[1]!ModTbl,10,0)</f>
        <v>#N/A</v>
      </c>
      <c r="M126" s="58">
        <v>0</v>
      </c>
      <c r="N126" s="126" t="e">
        <f t="shared" si="82"/>
        <v>#N/A</v>
      </c>
      <c r="O126" s="126" t="e">
        <f t="shared" si="42"/>
        <v>#N/A</v>
      </c>
      <c r="P126" s="126" t="e">
        <f t="shared" si="43"/>
        <v>#N/A</v>
      </c>
      <c r="Q126" s="126" t="e">
        <f t="shared" si="44"/>
        <v>#N/A</v>
      </c>
      <c r="R126" s="126" t="e">
        <f t="shared" si="45"/>
        <v>#N/A</v>
      </c>
      <c r="S126" s="126" t="e">
        <f t="shared" si="46"/>
        <v>#N/A</v>
      </c>
      <c r="T126" s="126" t="e">
        <f t="shared" si="47"/>
        <v>#N/A</v>
      </c>
      <c r="U126" s="94" t="e">
        <f t="shared" si="48"/>
        <v>#N/A</v>
      </c>
      <c r="V126" s="94" t="e">
        <f t="shared" si="49"/>
        <v>#N/A</v>
      </c>
      <c r="W126" s="94" t="e">
        <f t="shared" si="50"/>
        <v>#N/A</v>
      </c>
      <c r="X126" s="94" t="e">
        <f t="shared" si="51"/>
        <v>#N/A</v>
      </c>
      <c r="Y126" s="95">
        <f t="shared" si="52"/>
        <v>0</v>
      </c>
      <c r="Z126" s="126" t="e">
        <f t="shared" si="53"/>
        <v>#N/A</v>
      </c>
      <c r="AA126" s="126" t="e">
        <f t="shared" si="54"/>
        <v>#N/A</v>
      </c>
      <c r="AB126" s="126" t="e">
        <f t="shared" si="55"/>
        <v>#N/A</v>
      </c>
      <c r="AC126" s="126" t="e">
        <f t="shared" si="56"/>
        <v>#N/A</v>
      </c>
      <c r="AD126" s="126"/>
      <c r="AE126" s="126"/>
      <c r="AF126" s="126"/>
      <c r="AG126" s="126"/>
      <c r="AH126" s="126"/>
      <c r="AI126" s="126">
        <f t="shared" si="83"/>
        <v>0</v>
      </c>
      <c r="AJ126" s="126"/>
      <c r="AK126" s="94" t="e">
        <f t="shared" si="57"/>
        <v>#N/A</v>
      </c>
      <c r="AL126" s="94" t="e">
        <f t="shared" si="58"/>
        <v>#N/A</v>
      </c>
      <c r="AM126" s="94" t="e">
        <f t="shared" si="59"/>
        <v>#N/A</v>
      </c>
      <c r="AN126" s="94" t="e">
        <f t="shared" si="60"/>
        <v>#N/A</v>
      </c>
      <c r="AO126" s="95">
        <f t="shared" si="61"/>
        <v>0</v>
      </c>
      <c r="AP126" s="126" t="e">
        <f t="shared" si="62"/>
        <v>#N/A</v>
      </c>
      <c r="AQ126" s="126" t="e">
        <f t="shared" si="63"/>
        <v>#N/A</v>
      </c>
      <c r="AR126" s="126" t="e">
        <f t="shared" si="64"/>
        <v>#N/A</v>
      </c>
      <c r="AS126" s="126" t="e">
        <f t="shared" si="65"/>
        <v>#N/A</v>
      </c>
      <c r="AT126" s="126">
        <v>0</v>
      </c>
      <c r="AU126" s="126"/>
      <c r="AV126" s="126"/>
      <c r="AW126" s="126"/>
      <c r="AX126" s="126"/>
      <c r="AY126" s="126">
        <f t="shared" si="66"/>
        <v>0</v>
      </c>
      <c r="AZ126" s="127"/>
      <c r="BA126" s="127"/>
      <c r="BB126" s="2"/>
      <c r="BC126" s="27" t="e">
        <f t="shared" si="67"/>
        <v>#N/A</v>
      </c>
      <c r="BD126" s="27" t="e">
        <f t="shared" si="68"/>
        <v>#N/A</v>
      </c>
      <c r="BE126" s="27"/>
      <c r="BF126" s="27">
        <f t="shared" si="69"/>
        <v>0</v>
      </c>
      <c r="BG126" s="27"/>
      <c r="BH126" s="27" t="e">
        <f t="shared" si="70"/>
        <v>#N/A</v>
      </c>
      <c r="BI126" s="27" t="e">
        <f t="shared" si="71"/>
        <v>#N/A</v>
      </c>
      <c r="BJ126" s="27" t="e">
        <f t="shared" si="72"/>
        <v>#N/A</v>
      </c>
      <c r="BK126" s="27"/>
      <c r="BL126" s="27"/>
      <c r="BM126" s="27" t="e">
        <f t="shared" si="73"/>
        <v>#N/A</v>
      </c>
      <c r="BN126" s="27" t="e">
        <f t="shared" si="74"/>
        <v>#N/A</v>
      </c>
      <c r="BO126" s="27" t="e">
        <f t="shared" si="75"/>
        <v>#N/A</v>
      </c>
      <c r="BP126" s="27"/>
      <c r="BQ126" s="27"/>
    </row>
    <row r="127" spans="1:69" x14ac:dyDescent="0.25">
      <c r="A127" s="128"/>
      <c r="B127" s="166"/>
      <c r="C127" s="126"/>
      <c r="D127" s="57" t="e">
        <f>VLOOKUP(G127,[1]!ModTbl,2,0)</f>
        <v>#N/A</v>
      </c>
      <c r="E127" s="57" t="e">
        <f>VLOOKUP(G127,[1]!ModTbl,3,0)</f>
        <v>#N/A</v>
      </c>
      <c r="F127" s="57" t="e">
        <f>VLOOKUP(G127,[1]!ModTbl,4,0)</f>
        <v>#N/A</v>
      </c>
      <c r="G127" s="25"/>
      <c r="H127" s="128"/>
      <c r="I127" s="128"/>
      <c r="J127" s="58" t="e">
        <f>VLOOKUP(G127,[1]!ModTbl,8,0)</f>
        <v>#N/A</v>
      </c>
      <c r="K127" s="58" t="e">
        <f>VLOOKUP(G127,[1]!ModTbl,9,0)</f>
        <v>#N/A</v>
      </c>
      <c r="L127" s="58" t="e">
        <f>VLOOKUP(G127,[1]!ModTbl,10,0)</f>
        <v>#N/A</v>
      </c>
      <c r="M127" s="58">
        <v>0</v>
      </c>
      <c r="N127" s="126" t="e">
        <f t="shared" si="82"/>
        <v>#N/A</v>
      </c>
      <c r="O127" s="126" t="e">
        <f t="shared" si="42"/>
        <v>#N/A</v>
      </c>
      <c r="P127" s="126" t="e">
        <f t="shared" si="43"/>
        <v>#N/A</v>
      </c>
      <c r="Q127" s="126" t="e">
        <f t="shared" si="44"/>
        <v>#N/A</v>
      </c>
      <c r="R127" s="126" t="e">
        <f t="shared" si="45"/>
        <v>#N/A</v>
      </c>
      <c r="S127" s="126" t="e">
        <f t="shared" si="46"/>
        <v>#N/A</v>
      </c>
      <c r="T127" s="126" t="e">
        <f t="shared" si="47"/>
        <v>#N/A</v>
      </c>
      <c r="U127" s="94" t="e">
        <f t="shared" si="48"/>
        <v>#N/A</v>
      </c>
      <c r="V127" s="94" t="e">
        <f t="shared" si="49"/>
        <v>#N/A</v>
      </c>
      <c r="W127" s="94" t="e">
        <f t="shared" si="50"/>
        <v>#N/A</v>
      </c>
      <c r="X127" s="94" t="e">
        <f t="shared" si="51"/>
        <v>#N/A</v>
      </c>
      <c r="Y127" s="95">
        <f t="shared" si="52"/>
        <v>0</v>
      </c>
      <c r="Z127" s="126" t="e">
        <f t="shared" si="53"/>
        <v>#N/A</v>
      </c>
      <c r="AA127" s="126" t="e">
        <f t="shared" si="54"/>
        <v>#N/A</v>
      </c>
      <c r="AB127" s="126" t="e">
        <f t="shared" si="55"/>
        <v>#N/A</v>
      </c>
      <c r="AC127" s="126" t="e">
        <f t="shared" si="56"/>
        <v>#N/A</v>
      </c>
      <c r="AD127" s="126"/>
      <c r="AE127" s="126"/>
      <c r="AF127" s="126"/>
      <c r="AG127" s="126"/>
      <c r="AH127" s="126"/>
      <c r="AI127" s="126">
        <f t="shared" si="83"/>
        <v>0</v>
      </c>
      <c r="AJ127" s="126"/>
      <c r="AK127" s="94" t="e">
        <f t="shared" si="57"/>
        <v>#N/A</v>
      </c>
      <c r="AL127" s="94" t="e">
        <f t="shared" si="58"/>
        <v>#N/A</v>
      </c>
      <c r="AM127" s="94" t="e">
        <f t="shared" si="59"/>
        <v>#N/A</v>
      </c>
      <c r="AN127" s="94" t="e">
        <f t="shared" si="60"/>
        <v>#N/A</v>
      </c>
      <c r="AO127" s="95">
        <f t="shared" si="61"/>
        <v>0</v>
      </c>
      <c r="AP127" s="126" t="e">
        <f t="shared" si="62"/>
        <v>#N/A</v>
      </c>
      <c r="AQ127" s="126" t="e">
        <f t="shared" si="63"/>
        <v>#N/A</v>
      </c>
      <c r="AR127" s="126" t="e">
        <f t="shared" si="64"/>
        <v>#N/A</v>
      </c>
      <c r="AS127" s="126" t="e">
        <f t="shared" si="65"/>
        <v>#N/A</v>
      </c>
      <c r="AT127" s="126">
        <v>0</v>
      </c>
      <c r="AU127" s="126"/>
      <c r="AV127" s="126"/>
      <c r="AW127" s="126"/>
      <c r="AX127" s="126"/>
      <c r="AY127" s="126">
        <f t="shared" si="66"/>
        <v>0</v>
      </c>
      <c r="AZ127" s="127"/>
      <c r="BA127" s="127"/>
      <c r="BB127" s="2"/>
      <c r="BC127" s="27" t="e">
        <f t="shared" si="67"/>
        <v>#N/A</v>
      </c>
      <c r="BD127" s="27" t="e">
        <f t="shared" si="68"/>
        <v>#N/A</v>
      </c>
      <c r="BE127" s="27"/>
      <c r="BF127" s="27">
        <f t="shared" si="69"/>
        <v>0</v>
      </c>
      <c r="BG127" s="27"/>
      <c r="BH127" s="27" t="e">
        <f t="shared" si="70"/>
        <v>#N/A</v>
      </c>
      <c r="BI127" s="27" t="e">
        <f t="shared" si="71"/>
        <v>#N/A</v>
      </c>
      <c r="BJ127" s="27" t="e">
        <f t="shared" si="72"/>
        <v>#N/A</v>
      </c>
      <c r="BK127" s="27"/>
      <c r="BL127" s="27"/>
      <c r="BM127" s="27" t="e">
        <f t="shared" si="73"/>
        <v>#N/A</v>
      </c>
      <c r="BN127" s="27" t="e">
        <f t="shared" si="74"/>
        <v>#N/A</v>
      </c>
      <c r="BO127" s="27" t="e">
        <f t="shared" si="75"/>
        <v>#N/A</v>
      </c>
      <c r="BP127" s="27"/>
      <c r="BQ127" s="27"/>
    </row>
    <row r="128" spans="1:69" x14ac:dyDescent="0.25">
      <c r="A128" s="128"/>
      <c r="B128" s="166"/>
      <c r="C128" s="126"/>
      <c r="D128" s="57" t="e">
        <f>VLOOKUP(G128,[1]!ModTbl,2,0)</f>
        <v>#N/A</v>
      </c>
      <c r="E128" s="57" t="e">
        <f>VLOOKUP(G128,[1]!ModTbl,3,0)</f>
        <v>#N/A</v>
      </c>
      <c r="F128" s="57" t="e">
        <f>VLOOKUP(G128,[1]!ModTbl,4,0)</f>
        <v>#N/A</v>
      </c>
      <c r="G128" s="25"/>
      <c r="H128" s="128"/>
      <c r="I128" s="128"/>
      <c r="J128" s="58" t="e">
        <f>VLOOKUP(G128,[1]!ModTbl,8,0)</f>
        <v>#N/A</v>
      </c>
      <c r="K128" s="58" t="e">
        <f>VLOOKUP(G128,[1]!ModTbl,9,0)</f>
        <v>#N/A</v>
      </c>
      <c r="L128" s="58" t="e">
        <f>VLOOKUP(G128,[1]!ModTbl,10,0)</f>
        <v>#N/A</v>
      </c>
      <c r="M128" s="58">
        <v>0</v>
      </c>
      <c r="N128" s="126" t="e">
        <f t="shared" si="82"/>
        <v>#N/A</v>
      </c>
      <c r="O128" s="126" t="e">
        <f t="shared" si="42"/>
        <v>#N/A</v>
      </c>
      <c r="P128" s="126" t="e">
        <f t="shared" si="43"/>
        <v>#N/A</v>
      </c>
      <c r="Q128" s="126" t="e">
        <f t="shared" si="44"/>
        <v>#N/A</v>
      </c>
      <c r="R128" s="126" t="e">
        <f t="shared" si="45"/>
        <v>#N/A</v>
      </c>
      <c r="S128" s="126" t="e">
        <f t="shared" si="46"/>
        <v>#N/A</v>
      </c>
      <c r="T128" s="126" t="e">
        <f t="shared" si="47"/>
        <v>#N/A</v>
      </c>
      <c r="U128" s="94" t="e">
        <f t="shared" si="48"/>
        <v>#N/A</v>
      </c>
      <c r="V128" s="94" t="e">
        <f t="shared" si="49"/>
        <v>#N/A</v>
      </c>
      <c r="W128" s="94" t="e">
        <f t="shared" si="50"/>
        <v>#N/A</v>
      </c>
      <c r="X128" s="94" t="e">
        <f t="shared" si="51"/>
        <v>#N/A</v>
      </c>
      <c r="Y128" s="95">
        <f t="shared" si="52"/>
        <v>0</v>
      </c>
      <c r="Z128" s="126" t="e">
        <f t="shared" si="53"/>
        <v>#N/A</v>
      </c>
      <c r="AA128" s="126" t="e">
        <f t="shared" si="54"/>
        <v>#N/A</v>
      </c>
      <c r="AB128" s="126" t="e">
        <f t="shared" si="55"/>
        <v>#N/A</v>
      </c>
      <c r="AC128" s="126" t="e">
        <f t="shared" si="56"/>
        <v>#N/A</v>
      </c>
      <c r="AD128" s="126"/>
      <c r="AE128" s="126"/>
      <c r="AF128" s="126"/>
      <c r="AG128" s="126"/>
      <c r="AH128" s="126"/>
      <c r="AI128" s="126">
        <f t="shared" si="83"/>
        <v>0</v>
      </c>
      <c r="AJ128" s="126"/>
      <c r="AK128" s="94" t="e">
        <f t="shared" si="57"/>
        <v>#N/A</v>
      </c>
      <c r="AL128" s="94" t="e">
        <f t="shared" si="58"/>
        <v>#N/A</v>
      </c>
      <c r="AM128" s="94" t="e">
        <f t="shared" si="59"/>
        <v>#N/A</v>
      </c>
      <c r="AN128" s="94" t="e">
        <f t="shared" si="60"/>
        <v>#N/A</v>
      </c>
      <c r="AO128" s="95">
        <f t="shared" si="61"/>
        <v>0</v>
      </c>
      <c r="AP128" s="126" t="e">
        <f t="shared" si="62"/>
        <v>#N/A</v>
      </c>
      <c r="AQ128" s="126" t="e">
        <f t="shared" si="63"/>
        <v>#N/A</v>
      </c>
      <c r="AR128" s="126" t="e">
        <f t="shared" si="64"/>
        <v>#N/A</v>
      </c>
      <c r="AS128" s="126" t="e">
        <f t="shared" si="65"/>
        <v>#N/A</v>
      </c>
      <c r="AT128" s="126">
        <v>0</v>
      </c>
      <c r="AU128" s="126"/>
      <c r="AV128" s="126"/>
      <c r="AW128" s="126"/>
      <c r="AX128" s="126"/>
      <c r="AY128" s="126">
        <f t="shared" si="66"/>
        <v>0</v>
      </c>
      <c r="AZ128" s="127"/>
      <c r="BA128" s="127"/>
      <c r="BB128" s="2"/>
      <c r="BC128" s="27" t="e">
        <f t="shared" si="67"/>
        <v>#N/A</v>
      </c>
      <c r="BD128" s="27" t="e">
        <f t="shared" si="68"/>
        <v>#N/A</v>
      </c>
      <c r="BE128" s="27"/>
      <c r="BF128" s="27">
        <f t="shared" si="69"/>
        <v>0</v>
      </c>
      <c r="BG128" s="27"/>
      <c r="BH128" s="27" t="e">
        <f t="shared" si="70"/>
        <v>#N/A</v>
      </c>
      <c r="BI128" s="27" t="e">
        <f t="shared" si="71"/>
        <v>#N/A</v>
      </c>
      <c r="BJ128" s="27" t="e">
        <f t="shared" si="72"/>
        <v>#N/A</v>
      </c>
      <c r="BK128" s="27"/>
      <c r="BL128" s="27"/>
      <c r="BM128" s="27" t="e">
        <f t="shared" si="73"/>
        <v>#N/A</v>
      </c>
      <c r="BN128" s="27" t="e">
        <f t="shared" si="74"/>
        <v>#N/A</v>
      </c>
      <c r="BO128" s="27" t="e">
        <f t="shared" si="75"/>
        <v>#N/A</v>
      </c>
      <c r="BP128" s="27"/>
      <c r="BQ128" s="27"/>
    </row>
    <row r="129" spans="1:69" x14ac:dyDescent="0.25">
      <c r="A129" s="128"/>
      <c r="B129" s="166"/>
      <c r="C129" s="126"/>
      <c r="D129" s="57" t="e">
        <f>VLOOKUP(G129,[1]!ModTbl,2,0)</f>
        <v>#N/A</v>
      </c>
      <c r="E129" s="57" t="e">
        <f>VLOOKUP(G129,[1]!ModTbl,3,0)</f>
        <v>#N/A</v>
      </c>
      <c r="F129" s="57" t="e">
        <f>VLOOKUP(G129,[1]!ModTbl,4,0)</f>
        <v>#N/A</v>
      </c>
      <c r="G129" s="25"/>
      <c r="H129" s="128"/>
      <c r="I129" s="128"/>
      <c r="J129" s="58" t="e">
        <f>VLOOKUP(G129,[1]!ModTbl,8,0)</f>
        <v>#N/A</v>
      </c>
      <c r="K129" s="58" t="e">
        <f>VLOOKUP(G129,[1]!ModTbl,9,0)</f>
        <v>#N/A</v>
      </c>
      <c r="L129" s="58" t="e">
        <f>VLOOKUP(G129,[1]!ModTbl,10,0)</f>
        <v>#N/A</v>
      </c>
      <c r="M129" s="58">
        <v>0</v>
      </c>
      <c r="N129" s="126" t="e">
        <f t="shared" si="82"/>
        <v>#N/A</v>
      </c>
      <c r="O129" s="126" t="e">
        <f t="shared" si="42"/>
        <v>#N/A</v>
      </c>
      <c r="P129" s="126" t="e">
        <f t="shared" si="43"/>
        <v>#N/A</v>
      </c>
      <c r="Q129" s="126" t="e">
        <f t="shared" si="44"/>
        <v>#N/A</v>
      </c>
      <c r="R129" s="126" t="e">
        <f t="shared" si="45"/>
        <v>#N/A</v>
      </c>
      <c r="S129" s="126" t="e">
        <f t="shared" si="46"/>
        <v>#N/A</v>
      </c>
      <c r="T129" s="126" t="e">
        <f t="shared" si="47"/>
        <v>#N/A</v>
      </c>
      <c r="U129" s="94" t="e">
        <f t="shared" si="48"/>
        <v>#N/A</v>
      </c>
      <c r="V129" s="94" t="e">
        <f t="shared" si="49"/>
        <v>#N/A</v>
      </c>
      <c r="W129" s="94" t="e">
        <f t="shared" si="50"/>
        <v>#N/A</v>
      </c>
      <c r="X129" s="94" t="e">
        <f t="shared" si="51"/>
        <v>#N/A</v>
      </c>
      <c r="Y129" s="95">
        <f t="shared" si="52"/>
        <v>0</v>
      </c>
      <c r="Z129" s="126" t="e">
        <f t="shared" si="53"/>
        <v>#N/A</v>
      </c>
      <c r="AA129" s="126" t="e">
        <f t="shared" si="54"/>
        <v>#N/A</v>
      </c>
      <c r="AB129" s="126" t="e">
        <f t="shared" si="55"/>
        <v>#N/A</v>
      </c>
      <c r="AC129" s="126" t="e">
        <f t="shared" si="56"/>
        <v>#N/A</v>
      </c>
      <c r="AD129" s="126"/>
      <c r="AE129" s="126"/>
      <c r="AF129" s="126"/>
      <c r="AG129" s="126"/>
      <c r="AH129" s="126"/>
      <c r="AI129" s="126">
        <f t="shared" si="83"/>
        <v>0</v>
      </c>
      <c r="AJ129" s="126"/>
      <c r="AK129" s="94" t="e">
        <f t="shared" si="57"/>
        <v>#N/A</v>
      </c>
      <c r="AL129" s="94" t="e">
        <f t="shared" si="58"/>
        <v>#N/A</v>
      </c>
      <c r="AM129" s="94" t="e">
        <f t="shared" si="59"/>
        <v>#N/A</v>
      </c>
      <c r="AN129" s="94" t="e">
        <f t="shared" si="60"/>
        <v>#N/A</v>
      </c>
      <c r="AO129" s="95">
        <f t="shared" si="61"/>
        <v>0</v>
      </c>
      <c r="AP129" s="126" t="e">
        <f t="shared" si="62"/>
        <v>#N/A</v>
      </c>
      <c r="AQ129" s="126" t="e">
        <f t="shared" si="63"/>
        <v>#N/A</v>
      </c>
      <c r="AR129" s="126" t="e">
        <f t="shared" si="64"/>
        <v>#N/A</v>
      </c>
      <c r="AS129" s="126" t="e">
        <f t="shared" si="65"/>
        <v>#N/A</v>
      </c>
      <c r="AT129" s="126">
        <v>0</v>
      </c>
      <c r="AU129" s="126"/>
      <c r="AV129" s="126"/>
      <c r="AW129" s="126"/>
      <c r="AX129" s="126"/>
      <c r="AY129" s="126">
        <f t="shared" si="66"/>
        <v>0</v>
      </c>
      <c r="AZ129" s="127"/>
      <c r="BA129" s="127"/>
      <c r="BB129" s="2"/>
      <c r="BC129" s="27" t="e">
        <f t="shared" si="67"/>
        <v>#N/A</v>
      </c>
      <c r="BD129" s="27" t="e">
        <f t="shared" si="68"/>
        <v>#N/A</v>
      </c>
      <c r="BE129" s="27"/>
      <c r="BF129" s="27">
        <f t="shared" si="69"/>
        <v>0</v>
      </c>
      <c r="BG129" s="27"/>
      <c r="BH129" s="27" t="e">
        <f t="shared" si="70"/>
        <v>#N/A</v>
      </c>
      <c r="BI129" s="27" t="e">
        <f t="shared" si="71"/>
        <v>#N/A</v>
      </c>
      <c r="BJ129" s="27" t="e">
        <f t="shared" si="72"/>
        <v>#N/A</v>
      </c>
      <c r="BK129" s="27"/>
      <c r="BL129" s="27"/>
      <c r="BM129" s="27" t="e">
        <f t="shared" si="73"/>
        <v>#N/A</v>
      </c>
      <c r="BN129" s="27" t="e">
        <f t="shared" si="74"/>
        <v>#N/A</v>
      </c>
      <c r="BO129" s="27" t="e">
        <f t="shared" si="75"/>
        <v>#N/A</v>
      </c>
      <c r="BP129" s="27"/>
      <c r="BQ129" s="27"/>
    </row>
    <row r="130" spans="1:69" x14ac:dyDescent="0.25">
      <c r="A130" s="128"/>
      <c r="B130" s="166"/>
      <c r="C130" s="126"/>
      <c r="D130" s="57" t="e">
        <f>VLOOKUP(G130,[1]!ModTbl,2,0)</f>
        <v>#N/A</v>
      </c>
      <c r="E130" s="57" t="e">
        <f>VLOOKUP(G130,[1]!ModTbl,3,0)</f>
        <v>#N/A</v>
      </c>
      <c r="F130" s="57" t="e">
        <f>VLOOKUP(G130,[1]!ModTbl,4,0)</f>
        <v>#N/A</v>
      </c>
      <c r="G130" s="25"/>
      <c r="H130" s="128"/>
      <c r="I130" s="128"/>
      <c r="J130" s="58" t="e">
        <f>VLOOKUP(G130,[1]!ModTbl,8,0)</f>
        <v>#N/A</v>
      </c>
      <c r="K130" s="58" t="e">
        <f>VLOOKUP(G130,[1]!ModTbl,9,0)</f>
        <v>#N/A</v>
      </c>
      <c r="L130" s="58" t="e">
        <f>VLOOKUP(G130,[1]!ModTbl,10,0)</f>
        <v>#N/A</v>
      </c>
      <c r="M130" s="58">
        <v>0</v>
      </c>
      <c r="N130" s="126" t="e">
        <f t="shared" si="82"/>
        <v>#N/A</v>
      </c>
      <c r="O130" s="126" t="e">
        <f t="shared" si="42"/>
        <v>#N/A</v>
      </c>
      <c r="P130" s="126" t="e">
        <f t="shared" si="43"/>
        <v>#N/A</v>
      </c>
      <c r="Q130" s="126" t="e">
        <f t="shared" si="44"/>
        <v>#N/A</v>
      </c>
      <c r="R130" s="126" t="e">
        <f t="shared" si="45"/>
        <v>#N/A</v>
      </c>
      <c r="S130" s="126" t="e">
        <f t="shared" si="46"/>
        <v>#N/A</v>
      </c>
      <c r="T130" s="126" t="e">
        <f t="shared" si="47"/>
        <v>#N/A</v>
      </c>
      <c r="U130" s="94" t="e">
        <f t="shared" si="48"/>
        <v>#N/A</v>
      </c>
      <c r="V130" s="94" t="e">
        <f t="shared" si="49"/>
        <v>#N/A</v>
      </c>
      <c r="W130" s="94" t="e">
        <f t="shared" si="50"/>
        <v>#N/A</v>
      </c>
      <c r="X130" s="94" t="e">
        <f t="shared" si="51"/>
        <v>#N/A</v>
      </c>
      <c r="Y130" s="95">
        <f t="shared" si="52"/>
        <v>0</v>
      </c>
      <c r="Z130" s="126" t="e">
        <f t="shared" si="53"/>
        <v>#N/A</v>
      </c>
      <c r="AA130" s="126" t="e">
        <f t="shared" si="54"/>
        <v>#N/A</v>
      </c>
      <c r="AB130" s="126" t="e">
        <f t="shared" si="55"/>
        <v>#N/A</v>
      </c>
      <c r="AC130" s="126" t="e">
        <f t="shared" si="56"/>
        <v>#N/A</v>
      </c>
      <c r="AD130" s="126"/>
      <c r="AE130" s="126"/>
      <c r="AF130" s="126"/>
      <c r="AG130" s="126"/>
      <c r="AH130" s="126"/>
      <c r="AI130" s="126">
        <f t="shared" si="83"/>
        <v>0</v>
      </c>
      <c r="AJ130" s="126"/>
      <c r="AK130" s="94" t="e">
        <f t="shared" si="57"/>
        <v>#N/A</v>
      </c>
      <c r="AL130" s="94" t="e">
        <f t="shared" si="58"/>
        <v>#N/A</v>
      </c>
      <c r="AM130" s="94" t="e">
        <f t="shared" si="59"/>
        <v>#N/A</v>
      </c>
      <c r="AN130" s="94" t="e">
        <f t="shared" si="60"/>
        <v>#N/A</v>
      </c>
      <c r="AO130" s="95">
        <f t="shared" si="61"/>
        <v>0</v>
      </c>
      <c r="AP130" s="126" t="e">
        <f t="shared" si="62"/>
        <v>#N/A</v>
      </c>
      <c r="AQ130" s="126" t="e">
        <f t="shared" si="63"/>
        <v>#N/A</v>
      </c>
      <c r="AR130" s="126" t="e">
        <f t="shared" si="64"/>
        <v>#N/A</v>
      </c>
      <c r="AS130" s="126" t="e">
        <f t="shared" si="65"/>
        <v>#N/A</v>
      </c>
      <c r="AT130" s="126">
        <v>0</v>
      </c>
      <c r="AU130" s="126"/>
      <c r="AV130" s="126"/>
      <c r="AW130" s="126"/>
      <c r="AX130" s="126"/>
      <c r="AY130" s="126">
        <f t="shared" si="66"/>
        <v>0</v>
      </c>
      <c r="AZ130" s="127"/>
      <c r="BA130" s="127"/>
      <c r="BB130" s="2"/>
      <c r="BC130" s="27" t="e">
        <f t="shared" si="67"/>
        <v>#N/A</v>
      </c>
      <c r="BD130" s="27" t="e">
        <f t="shared" si="68"/>
        <v>#N/A</v>
      </c>
      <c r="BE130" s="27"/>
      <c r="BF130" s="27">
        <f t="shared" si="69"/>
        <v>0</v>
      </c>
      <c r="BG130" s="27"/>
      <c r="BH130" s="27" t="e">
        <f t="shared" si="70"/>
        <v>#N/A</v>
      </c>
      <c r="BI130" s="27" t="e">
        <f t="shared" si="71"/>
        <v>#N/A</v>
      </c>
      <c r="BJ130" s="27" t="e">
        <f t="shared" si="72"/>
        <v>#N/A</v>
      </c>
      <c r="BK130" s="27"/>
      <c r="BL130" s="27"/>
      <c r="BM130" s="27" t="e">
        <f t="shared" si="73"/>
        <v>#N/A</v>
      </c>
      <c r="BN130" s="27" t="e">
        <f t="shared" si="74"/>
        <v>#N/A</v>
      </c>
      <c r="BO130" s="27" t="e">
        <f t="shared" si="75"/>
        <v>#N/A</v>
      </c>
      <c r="BP130" s="27"/>
      <c r="BQ130" s="27"/>
    </row>
    <row r="131" spans="1:69" x14ac:dyDescent="0.25">
      <c r="A131" s="128"/>
      <c r="B131" s="166"/>
      <c r="C131" s="126"/>
      <c r="D131" s="57" t="e">
        <f>VLOOKUP(G131,[1]!ModTbl,2,0)</f>
        <v>#N/A</v>
      </c>
      <c r="E131" s="57" t="e">
        <f>VLOOKUP(G131,[1]!ModTbl,3,0)</f>
        <v>#N/A</v>
      </c>
      <c r="F131" s="57" t="e">
        <f>VLOOKUP(G131,[1]!ModTbl,4,0)</f>
        <v>#N/A</v>
      </c>
      <c r="G131" s="25"/>
      <c r="H131" s="128"/>
      <c r="I131" s="128"/>
      <c r="J131" s="58" t="e">
        <f>VLOOKUP(G131,[1]!ModTbl,8,0)</f>
        <v>#N/A</v>
      </c>
      <c r="K131" s="58" t="e">
        <f>VLOOKUP(G131,[1]!ModTbl,9,0)</f>
        <v>#N/A</v>
      </c>
      <c r="L131" s="58" t="e">
        <f>VLOOKUP(G131,[1]!ModTbl,10,0)</f>
        <v>#N/A</v>
      </c>
      <c r="M131" s="58">
        <v>0</v>
      </c>
      <c r="N131" s="126" t="e">
        <f t="shared" si="82"/>
        <v>#N/A</v>
      </c>
      <c r="O131" s="126" t="e">
        <f t="shared" si="42"/>
        <v>#N/A</v>
      </c>
      <c r="P131" s="126" t="e">
        <f t="shared" si="43"/>
        <v>#N/A</v>
      </c>
      <c r="Q131" s="126" t="e">
        <f t="shared" si="44"/>
        <v>#N/A</v>
      </c>
      <c r="R131" s="126" t="e">
        <f t="shared" si="45"/>
        <v>#N/A</v>
      </c>
      <c r="S131" s="126" t="e">
        <f t="shared" si="46"/>
        <v>#N/A</v>
      </c>
      <c r="T131" s="126" t="e">
        <f t="shared" si="47"/>
        <v>#N/A</v>
      </c>
      <c r="U131" s="94" t="e">
        <f t="shared" si="48"/>
        <v>#N/A</v>
      </c>
      <c r="V131" s="94" t="e">
        <f t="shared" si="49"/>
        <v>#N/A</v>
      </c>
      <c r="W131" s="94" t="e">
        <f t="shared" si="50"/>
        <v>#N/A</v>
      </c>
      <c r="X131" s="94" t="e">
        <f t="shared" si="51"/>
        <v>#N/A</v>
      </c>
      <c r="Y131" s="95">
        <f t="shared" si="52"/>
        <v>0</v>
      </c>
      <c r="Z131" s="126" t="e">
        <f t="shared" si="53"/>
        <v>#N/A</v>
      </c>
      <c r="AA131" s="126" t="e">
        <f t="shared" si="54"/>
        <v>#N/A</v>
      </c>
      <c r="AB131" s="126" t="e">
        <f t="shared" si="55"/>
        <v>#N/A</v>
      </c>
      <c r="AC131" s="126" t="e">
        <f t="shared" si="56"/>
        <v>#N/A</v>
      </c>
      <c r="AD131" s="126"/>
      <c r="AE131" s="126"/>
      <c r="AF131" s="126"/>
      <c r="AG131" s="126"/>
      <c r="AH131" s="126"/>
      <c r="AI131" s="126">
        <f t="shared" si="83"/>
        <v>0</v>
      </c>
      <c r="AJ131" s="126"/>
      <c r="AK131" s="94" t="e">
        <f t="shared" si="57"/>
        <v>#N/A</v>
      </c>
      <c r="AL131" s="94" t="e">
        <f t="shared" si="58"/>
        <v>#N/A</v>
      </c>
      <c r="AM131" s="94" t="e">
        <f t="shared" si="59"/>
        <v>#N/A</v>
      </c>
      <c r="AN131" s="94" t="e">
        <f t="shared" si="60"/>
        <v>#N/A</v>
      </c>
      <c r="AO131" s="95">
        <f t="shared" si="61"/>
        <v>0</v>
      </c>
      <c r="AP131" s="126" t="e">
        <f t="shared" si="62"/>
        <v>#N/A</v>
      </c>
      <c r="AQ131" s="126" t="e">
        <f t="shared" si="63"/>
        <v>#N/A</v>
      </c>
      <c r="AR131" s="126" t="e">
        <f t="shared" si="64"/>
        <v>#N/A</v>
      </c>
      <c r="AS131" s="126" t="e">
        <f t="shared" si="65"/>
        <v>#N/A</v>
      </c>
      <c r="AT131" s="126">
        <v>0</v>
      </c>
      <c r="AU131" s="126"/>
      <c r="AV131" s="126"/>
      <c r="AW131" s="126"/>
      <c r="AX131" s="126"/>
      <c r="AY131" s="126">
        <f t="shared" si="66"/>
        <v>0</v>
      </c>
      <c r="AZ131" s="127"/>
      <c r="BA131" s="127"/>
      <c r="BB131" s="2"/>
      <c r="BC131" s="27" t="e">
        <f t="shared" si="67"/>
        <v>#N/A</v>
      </c>
      <c r="BD131" s="27" t="e">
        <f t="shared" si="68"/>
        <v>#N/A</v>
      </c>
      <c r="BE131" s="27"/>
      <c r="BF131" s="27">
        <f t="shared" si="69"/>
        <v>0</v>
      </c>
      <c r="BG131" s="27"/>
      <c r="BH131" s="27" t="e">
        <f t="shared" si="70"/>
        <v>#N/A</v>
      </c>
      <c r="BI131" s="27" t="e">
        <f t="shared" si="71"/>
        <v>#N/A</v>
      </c>
      <c r="BJ131" s="27" t="e">
        <f t="shared" si="72"/>
        <v>#N/A</v>
      </c>
      <c r="BK131" s="27"/>
      <c r="BL131" s="27"/>
      <c r="BM131" s="27" t="e">
        <f t="shared" si="73"/>
        <v>#N/A</v>
      </c>
      <c r="BN131" s="27" t="e">
        <f t="shared" si="74"/>
        <v>#N/A</v>
      </c>
      <c r="BO131" s="27" t="e">
        <f t="shared" si="75"/>
        <v>#N/A</v>
      </c>
      <c r="BP131" s="27"/>
      <c r="BQ131" s="27"/>
    </row>
    <row r="132" spans="1:69" x14ac:dyDescent="0.25">
      <c r="A132" s="128"/>
      <c r="B132" s="166"/>
      <c r="C132" s="126"/>
      <c r="D132" s="57" t="e">
        <f>VLOOKUP(G132,[1]!ModTbl,2,0)</f>
        <v>#N/A</v>
      </c>
      <c r="E132" s="57" t="e">
        <f>VLOOKUP(G132,[1]!ModTbl,3,0)</f>
        <v>#N/A</v>
      </c>
      <c r="F132" s="57" t="e">
        <f>VLOOKUP(G132,[1]!ModTbl,4,0)</f>
        <v>#N/A</v>
      </c>
      <c r="G132" s="25"/>
      <c r="H132" s="128"/>
      <c r="I132" s="128"/>
      <c r="J132" s="58" t="e">
        <f>VLOOKUP(G132,[1]!ModTbl,8,0)</f>
        <v>#N/A</v>
      </c>
      <c r="K132" s="58" t="e">
        <f>VLOOKUP(G132,[1]!ModTbl,9,0)</f>
        <v>#N/A</v>
      </c>
      <c r="L132" s="58" t="e">
        <f>VLOOKUP(G132,[1]!ModTbl,10,0)</f>
        <v>#N/A</v>
      </c>
      <c r="M132" s="58">
        <v>0</v>
      </c>
      <c r="N132" s="126" t="e">
        <f t="shared" si="82"/>
        <v>#N/A</v>
      </c>
      <c r="O132" s="126" t="e">
        <f t="shared" si="42"/>
        <v>#N/A</v>
      </c>
      <c r="P132" s="126" t="e">
        <f t="shared" si="43"/>
        <v>#N/A</v>
      </c>
      <c r="Q132" s="126" t="e">
        <f t="shared" si="44"/>
        <v>#N/A</v>
      </c>
      <c r="R132" s="126" t="e">
        <f t="shared" si="45"/>
        <v>#N/A</v>
      </c>
      <c r="S132" s="126" t="e">
        <f t="shared" si="46"/>
        <v>#N/A</v>
      </c>
      <c r="T132" s="126" t="e">
        <f t="shared" si="47"/>
        <v>#N/A</v>
      </c>
      <c r="U132" s="94" t="e">
        <f t="shared" si="48"/>
        <v>#N/A</v>
      </c>
      <c r="V132" s="94" t="e">
        <f t="shared" si="49"/>
        <v>#N/A</v>
      </c>
      <c r="W132" s="94" t="e">
        <f t="shared" si="50"/>
        <v>#N/A</v>
      </c>
      <c r="X132" s="94" t="e">
        <f t="shared" si="51"/>
        <v>#N/A</v>
      </c>
      <c r="Y132" s="95">
        <f t="shared" si="52"/>
        <v>0</v>
      </c>
      <c r="Z132" s="126" t="e">
        <f t="shared" si="53"/>
        <v>#N/A</v>
      </c>
      <c r="AA132" s="126" t="e">
        <f t="shared" si="54"/>
        <v>#N/A</v>
      </c>
      <c r="AB132" s="126" t="e">
        <f t="shared" si="55"/>
        <v>#N/A</v>
      </c>
      <c r="AC132" s="126" t="e">
        <f t="shared" si="56"/>
        <v>#N/A</v>
      </c>
      <c r="AD132" s="126"/>
      <c r="AE132" s="126"/>
      <c r="AF132" s="126"/>
      <c r="AG132" s="126"/>
      <c r="AH132" s="126"/>
      <c r="AI132" s="126">
        <f t="shared" si="83"/>
        <v>0</v>
      </c>
      <c r="AJ132" s="126"/>
      <c r="AK132" s="94" t="e">
        <f t="shared" si="57"/>
        <v>#N/A</v>
      </c>
      <c r="AL132" s="94" t="e">
        <f t="shared" si="58"/>
        <v>#N/A</v>
      </c>
      <c r="AM132" s="94" t="e">
        <f t="shared" si="59"/>
        <v>#N/A</v>
      </c>
      <c r="AN132" s="94" t="e">
        <f t="shared" si="60"/>
        <v>#N/A</v>
      </c>
      <c r="AO132" s="95">
        <f t="shared" si="61"/>
        <v>0</v>
      </c>
      <c r="AP132" s="126" t="e">
        <f t="shared" si="62"/>
        <v>#N/A</v>
      </c>
      <c r="AQ132" s="126" t="e">
        <f t="shared" si="63"/>
        <v>#N/A</v>
      </c>
      <c r="AR132" s="126" t="e">
        <f t="shared" si="64"/>
        <v>#N/A</v>
      </c>
      <c r="AS132" s="126" t="e">
        <f t="shared" si="65"/>
        <v>#N/A</v>
      </c>
      <c r="AT132" s="126">
        <v>0</v>
      </c>
      <c r="AU132" s="126"/>
      <c r="AV132" s="126"/>
      <c r="AW132" s="126"/>
      <c r="AX132" s="126"/>
      <c r="AY132" s="126">
        <f t="shared" si="66"/>
        <v>0</v>
      </c>
      <c r="AZ132" s="127"/>
      <c r="BA132" s="127"/>
      <c r="BB132" s="2"/>
      <c r="BC132" s="27" t="e">
        <f t="shared" si="67"/>
        <v>#N/A</v>
      </c>
      <c r="BD132" s="27" t="e">
        <f t="shared" si="68"/>
        <v>#N/A</v>
      </c>
      <c r="BE132" s="27"/>
      <c r="BF132" s="27">
        <f t="shared" si="69"/>
        <v>0</v>
      </c>
      <c r="BG132" s="27"/>
      <c r="BH132" s="27" t="e">
        <f t="shared" si="70"/>
        <v>#N/A</v>
      </c>
      <c r="BI132" s="27" t="e">
        <f t="shared" si="71"/>
        <v>#N/A</v>
      </c>
      <c r="BJ132" s="27" t="e">
        <f t="shared" si="72"/>
        <v>#N/A</v>
      </c>
      <c r="BK132" s="27"/>
      <c r="BL132" s="27"/>
      <c r="BM132" s="27" t="e">
        <f t="shared" si="73"/>
        <v>#N/A</v>
      </c>
      <c r="BN132" s="27" t="e">
        <f t="shared" si="74"/>
        <v>#N/A</v>
      </c>
      <c r="BO132" s="27" t="e">
        <f t="shared" si="75"/>
        <v>#N/A</v>
      </c>
      <c r="BP132" s="27"/>
      <c r="BQ132" s="27"/>
    </row>
    <row r="133" spans="1:69" x14ac:dyDescent="0.25">
      <c r="A133" s="128"/>
      <c r="B133" s="166"/>
      <c r="C133" s="126"/>
      <c r="D133" s="57" t="e">
        <f>VLOOKUP(G133,[1]!ModTbl,2,0)</f>
        <v>#N/A</v>
      </c>
      <c r="E133" s="57" t="e">
        <f>VLOOKUP(G133,[1]!ModTbl,3,0)</f>
        <v>#N/A</v>
      </c>
      <c r="F133" s="57" t="e">
        <f>VLOOKUP(G133,[1]!ModTbl,4,0)</f>
        <v>#N/A</v>
      </c>
      <c r="G133" s="25"/>
      <c r="H133" s="128"/>
      <c r="I133" s="128"/>
      <c r="J133" s="58" t="e">
        <f>VLOOKUP(G133,[1]!ModTbl,8,0)</f>
        <v>#N/A</v>
      </c>
      <c r="K133" s="58" t="e">
        <f>VLOOKUP(G133,[1]!ModTbl,9,0)</f>
        <v>#N/A</v>
      </c>
      <c r="L133" s="58" t="e">
        <f>VLOOKUP(G133,[1]!ModTbl,10,0)</f>
        <v>#N/A</v>
      </c>
      <c r="M133" s="58">
        <v>0</v>
      </c>
      <c r="N133" s="126" t="e">
        <f t="shared" si="82"/>
        <v>#N/A</v>
      </c>
      <c r="O133" s="126" t="e">
        <f t="shared" si="42"/>
        <v>#N/A</v>
      </c>
      <c r="P133" s="126" t="e">
        <f t="shared" si="43"/>
        <v>#N/A</v>
      </c>
      <c r="Q133" s="126" t="e">
        <f t="shared" si="44"/>
        <v>#N/A</v>
      </c>
      <c r="R133" s="126" t="e">
        <f t="shared" si="45"/>
        <v>#N/A</v>
      </c>
      <c r="S133" s="126" t="e">
        <f t="shared" si="46"/>
        <v>#N/A</v>
      </c>
      <c r="T133" s="126" t="e">
        <f t="shared" si="47"/>
        <v>#N/A</v>
      </c>
      <c r="U133" s="94" t="e">
        <f t="shared" si="48"/>
        <v>#N/A</v>
      </c>
      <c r="V133" s="94" t="e">
        <f t="shared" si="49"/>
        <v>#N/A</v>
      </c>
      <c r="W133" s="94" t="e">
        <f t="shared" si="50"/>
        <v>#N/A</v>
      </c>
      <c r="X133" s="94" t="e">
        <f t="shared" si="51"/>
        <v>#N/A</v>
      </c>
      <c r="Y133" s="95">
        <f t="shared" si="52"/>
        <v>0</v>
      </c>
      <c r="Z133" s="126" t="e">
        <f t="shared" si="53"/>
        <v>#N/A</v>
      </c>
      <c r="AA133" s="126" t="e">
        <f t="shared" si="54"/>
        <v>#N/A</v>
      </c>
      <c r="AB133" s="126" t="e">
        <f t="shared" si="55"/>
        <v>#N/A</v>
      </c>
      <c r="AC133" s="126" t="e">
        <f t="shared" si="56"/>
        <v>#N/A</v>
      </c>
      <c r="AD133" s="126"/>
      <c r="AE133" s="126"/>
      <c r="AF133" s="126"/>
      <c r="AG133" s="126"/>
      <c r="AH133" s="126"/>
      <c r="AI133" s="126">
        <f t="shared" si="83"/>
        <v>0</v>
      </c>
      <c r="AJ133" s="126"/>
      <c r="AK133" s="94" t="e">
        <f t="shared" si="57"/>
        <v>#N/A</v>
      </c>
      <c r="AL133" s="94" t="e">
        <f t="shared" si="58"/>
        <v>#N/A</v>
      </c>
      <c r="AM133" s="94" t="e">
        <f t="shared" si="59"/>
        <v>#N/A</v>
      </c>
      <c r="AN133" s="94" t="e">
        <f t="shared" si="60"/>
        <v>#N/A</v>
      </c>
      <c r="AO133" s="95">
        <f t="shared" si="61"/>
        <v>0</v>
      </c>
      <c r="AP133" s="126" t="e">
        <f t="shared" si="62"/>
        <v>#N/A</v>
      </c>
      <c r="AQ133" s="126" t="e">
        <f t="shared" si="63"/>
        <v>#N/A</v>
      </c>
      <c r="AR133" s="126" t="e">
        <f t="shared" si="64"/>
        <v>#N/A</v>
      </c>
      <c r="AS133" s="126" t="e">
        <f t="shared" si="65"/>
        <v>#N/A</v>
      </c>
      <c r="AT133" s="126">
        <v>0</v>
      </c>
      <c r="AU133" s="126"/>
      <c r="AV133" s="126"/>
      <c r="AW133" s="126"/>
      <c r="AX133" s="126"/>
      <c r="AY133" s="126">
        <f t="shared" si="66"/>
        <v>0</v>
      </c>
      <c r="AZ133" s="127"/>
      <c r="BA133" s="127"/>
      <c r="BB133" s="2"/>
      <c r="BC133" s="27" t="e">
        <f t="shared" si="67"/>
        <v>#N/A</v>
      </c>
      <c r="BD133" s="27" t="e">
        <f t="shared" si="68"/>
        <v>#N/A</v>
      </c>
      <c r="BE133" s="27"/>
      <c r="BF133" s="27">
        <f t="shared" si="69"/>
        <v>0</v>
      </c>
      <c r="BG133" s="27"/>
      <c r="BH133" s="27" t="e">
        <f t="shared" si="70"/>
        <v>#N/A</v>
      </c>
      <c r="BI133" s="27" t="e">
        <f t="shared" si="71"/>
        <v>#N/A</v>
      </c>
      <c r="BJ133" s="27" t="e">
        <f t="shared" si="72"/>
        <v>#N/A</v>
      </c>
      <c r="BK133" s="27"/>
      <c r="BL133" s="27"/>
      <c r="BM133" s="27" t="e">
        <f t="shared" si="73"/>
        <v>#N/A</v>
      </c>
      <c r="BN133" s="27" t="e">
        <f t="shared" si="74"/>
        <v>#N/A</v>
      </c>
      <c r="BO133" s="27" t="e">
        <f t="shared" si="75"/>
        <v>#N/A</v>
      </c>
      <c r="BP133" s="27"/>
      <c r="BQ133" s="27"/>
    </row>
    <row r="134" spans="1:69" x14ac:dyDescent="0.25">
      <c r="A134" s="128"/>
      <c r="B134" s="166"/>
      <c r="C134" s="126"/>
      <c r="D134" s="57" t="e">
        <f>VLOOKUP(G134,[1]!ModTbl,2,0)</f>
        <v>#N/A</v>
      </c>
      <c r="E134" s="57" t="e">
        <f>VLOOKUP(G134,[1]!ModTbl,3,0)</f>
        <v>#N/A</v>
      </c>
      <c r="F134" s="57" t="e">
        <f>VLOOKUP(G134,[1]!ModTbl,4,0)</f>
        <v>#N/A</v>
      </c>
      <c r="G134" s="25"/>
      <c r="H134" s="128"/>
      <c r="I134" s="128"/>
      <c r="J134" s="58" t="e">
        <f>VLOOKUP(G134,[1]!ModTbl,8,0)</f>
        <v>#N/A</v>
      </c>
      <c r="K134" s="58" t="e">
        <f>VLOOKUP(G134,[1]!ModTbl,9,0)</f>
        <v>#N/A</v>
      </c>
      <c r="L134" s="58" t="e">
        <f>VLOOKUP(G134,[1]!ModTbl,10,0)</f>
        <v>#N/A</v>
      </c>
      <c r="M134" s="58">
        <v>0</v>
      </c>
      <c r="N134" s="126" t="e">
        <f t="shared" si="82"/>
        <v>#N/A</v>
      </c>
      <c r="O134" s="126" t="e">
        <f t="shared" si="42"/>
        <v>#N/A</v>
      </c>
      <c r="P134" s="126" t="e">
        <f t="shared" si="43"/>
        <v>#N/A</v>
      </c>
      <c r="Q134" s="126" t="e">
        <f t="shared" si="44"/>
        <v>#N/A</v>
      </c>
      <c r="R134" s="126" t="e">
        <f t="shared" si="45"/>
        <v>#N/A</v>
      </c>
      <c r="S134" s="126" t="e">
        <f t="shared" si="46"/>
        <v>#N/A</v>
      </c>
      <c r="T134" s="126" t="e">
        <f t="shared" si="47"/>
        <v>#N/A</v>
      </c>
      <c r="U134" s="94" t="e">
        <f t="shared" si="48"/>
        <v>#N/A</v>
      </c>
      <c r="V134" s="94" t="e">
        <f t="shared" si="49"/>
        <v>#N/A</v>
      </c>
      <c r="W134" s="94" t="e">
        <f t="shared" si="50"/>
        <v>#N/A</v>
      </c>
      <c r="X134" s="94" t="e">
        <f t="shared" si="51"/>
        <v>#N/A</v>
      </c>
      <c r="Y134" s="95">
        <f t="shared" si="52"/>
        <v>0</v>
      </c>
      <c r="Z134" s="126" t="e">
        <f t="shared" si="53"/>
        <v>#N/A</v>
      </c>
      <c r="AA134" s="126" t="e">
        <f t="shared" si="54"/>
        <v>#N/A</v>
      </c>
      <c r="AB134" s="126" t="e">
        <f t="shared" si="55"/>
        <v>#N/A</v>
      </c>
      <c r="AC134" s="126" t="e">
        <f t="shared" si="56"/>
        <v>#N/A</v>
      </c>
      <c r="AD134" s="126"/>
      <c r="AE134" s="126"/>
      <c r="AF134" s="126"/>
      <c r="AG134" s="126"/>
      <c r="AH134" s="126"/>
      <c r="AI134" s="126">
        <f t="shared" si="83"/>
        <v>0</v>
      </c>
      <c r="AJ134" s="126"/>
      <c r="AK134" s="94" t="e">
        <f t="shared" si="57"/>
        <v>#N/A</v>
      </c>
      <c r="AL134" s="94" t="e">
        <f t="shared" si="58"/>
        <v>#N/A</v>
      </c>
      <c r="AM134" s="94" t="e">
        <f t="shared" si="59"/>
        <v>#N/A</v>
      </c>
      <c r="AN134" s="94" t="e">
        <f t="shared" si="60"/>
        <v>#N/A</v>
      </c>
      <c r="AO134" s="95">
        <f t="shared" si="61"/>
        <v>0</v>
      </c>
      <c r="AP134" s="126" t="e">
        <f t="shared" si="62"/>
        <v>#N/A</v>
      </c>
      <c r="AQ134" s="126" t="e">
        <f t="shared" si="63"/>
        <v>#N/A</v>
      </c>
      <c r="AR134" s="126" t="e">
        <f t="shared" si="64"/>
        <v>#N/A</v>
      </c>
      <c r="AS134" s="126" t="e">
        <f t="shared" si="65"/>
        <v>#N/A</v>
      </c>
      <c r="AT134" s="126">
        <v>0</v>
      </c>
      <c r="AU134" s="126"/>
      <c r="AV134" s="126"/>
      <c r="AW134" s="126"/>
      <c r="AX134" s="126"/>
      <c r="AY134" s="126">
        <f t="shared" si="66"/>
        <v>0</v>
      </c>
      <c r="AZ134" s="127"/>
      <c r="BA134" s="127"/>
      <c r="BB134" s="2"/>
      <c r="BC134" s="27" t="e">
        <f t="shared" si="67"/>
        <v>#N/A</v>
      </c>
      <c r="BD134" s="27" t="e">
        <f t="shared" si="68"/>
        <v>#N/A</v>
      </c>
      <c r="BE134" s="27"/>
      <c r="BF134" s="27">
        <f t="shared" si="69"/>
        <v>0</v>
      </c>
      <c r="BG134" s="27"/>
      <c r="BH134" s="27" t="e">
        <f t="shared" si="70"/>
        <v>#N/A</v>
      </c>
      <c r="BI134" s="27" t="e">
        <f t="shared" si="71"/>
        <v>#N/A</v>
      </c>
      <c r="BJ134" s="27" t="e">
        <f t="shared" si="72"/>
        <v>#N/A</v>
      </c>
      <c r="BK134" s="27"/>
      <c r="BL134" s="27"/>
      <c r="BM134" s="27" t="e">
        <f t="shared" si="73"/>
        <v>#N/A</v>
      </c>
      <c r="BN134" s="27" t="e">
        <f t="shared" si="74"/>
        <v>#N/A</v>
      </c>
      <c r="BO134" s="27" t="e">
        <f t="shared" si="75"/>
        <v>#N/A</v>
      </c>
      <c r="BP134" s="27"/>
      <c r="BQ134" s="27"/>
    </row>
    <row r="135" spans="1:69" x14ac:dyDescent="0.25">
      <c r="A135" s="128"/>
      <c r="B135" s="166"/>
      <c r="C135" s="126"/>
      <c r="D135" s="57" t="e">
        <f>VLOOKUP(G135,[1]!ModTbl,2,0)</f>
        <v>#N/A</v>
      </c>
      <c r="E135" s="57" t="e">
        <f>VLOOKUP(G135,[1]!ModTbl,3,0)</f>
        <v>#N/A</v>
      </c>
      <c r="F135" s="57" t="e">
        <f>VLOOKUP(G135,[1]!ModTbl,4,0)</f>
        <v>#N/A</v>
      </c>
      <c r="G135" s="25"/>
      <c r="H135" s="128"/>
      <c r="I135" s="128"/>
      <c r="J135" s="58" t="e">
        <f>VLOOKUP(G135,[1]!ModTbl,8,0)</f>
        <v>#N/A</v>
      </c>
      <c r="K135" s="58" t="e">
        <f>VLOOKUP(G135,[1]!ModTbl,9,0)</f>
        <v>#N/A</v>
      </c>
      <c r="L135" s="58" t="e">
        <f>VLOOKUP(G135,[1]!ModTbl,10,0)</f>
        <v>#N/A</v>
      </c>
      <c r="M135" s="58">
        <v>0</v>
      </c>
      <c r="N135" s="126" t="e">
        <f t="shared" si="82"/>
        <v>#N/A</v>
      </c>
      <c r="O135" s="126" t="e">
        <f t="shared" si="42"/>
        <v>#N/A</v>
      </c>
      <c r="P135" s="126" t="e">
        <f t="shared" si="43"/>
        <v>#N/A</v>
      </c>
      <c r="Q135" s="126" t="e">
        <f t="shared" si="44"/>
        <v>#N/A</v>
      </c>
      <c r="R135" s="126" t="e">
        <f t="shared" si="45"/>
        <v>#N/A</v>
      </c>
      <c r="S135" s="126" t="e">
        <f t="shared" si="46"/>
        <v>#N/A</v>
      </c>
      <c r="T135" s="126" t="e">
        <f t="shared" si="47"/>
        <v>#N/A</v>
      </c>
      <c r="U135" s="94" t="e">
        <f t="shared" si="48"/>
        <v>#N/A</v>
      </c>
      <c r="V135" s="94" t="e">
        <f t="shared" si="49"/>
        <v>#N/A</v>
      </c>
      <c r="W135" s="94" t="e">
        <f t="shared" si="50"/>
        <v>#N/A</v>
      </c>
      <c r="X135" s="94" t="e">
        <f t="shared" si="51"/>
        <v>#N/A</v>
      </c>
      <c r="Y135" s="95">
        <f t="shared" si="52"/>
        <v>0</v>
      </c>
      <c r="Z135" s="126" t="e">
        <f t="shared" si="53"/>
        <v>#N/A</v>
      </c>
      <c r="AA135" s="126" t="e">
        <f t="shared" si="54"/>
        <v>#N/A</v>
      </c>
      <c r="AB135" s="126" t="e">
        <f t="shared" si="55"/>
        <v>#N/A</v>
      </c>
      <c r="AC135" s="126" t="e">
        <f t="shared" si="56"/>
        <v>#N/A</v>
      </c>
      <c r="AD135" s="126"/>
      <c r="AE135" s="126"/>
      <c r="AF135" s="126"/>
      <c r="AG135" s="126"/>
      <c r="AH135" s="126"/>
      <c r="AI135" s="126">
        <f t="shared" si="83"/>
        <v>0</v>
      </c>
      <c r="AJ135" s="126"/>
      <c r="AK135" s="94" t="e">
        <f t="shared" si="57"/>
        <v>#N/A</v>
      </c>
      <c r="AL135" s="94" t="e">
        <f t="shared" si="58"/>
        <v>#N/A</v>
      </c>
      <c r="AM135" s="94" t="e">
        <f t="shared" si="59"/>
        <v>#N/A</v>
      </c>
      <c r="AN135" s="94" t="e">
        <f t="shared" si="60"/>
        <v>#N/A</v>
      </c>
      <c r="AO135" s="95">
        <f t="shared" si="61"/>
        <v>0</v>
      </c>
      <c r="AP135" s="126" t="e">
        <f t="shared" si="62"/>
        <v>#N/A</v>
      </c>
      <c r="AQ135" s="126" t="e">
        <f t="shared" si="63"/>
        <v>#N/A</v>
      </c>
      <c r="AR135" s="126" t="e">
        <f t="shared" si="64"/>
        <v>#N/A</v>
      </c>
      <c r="AS135" s="126" t="e">
        <f t="shared" si="65"/>
        <v>#N/A</v>
      </c>
      <c r="AT135" s="126">
        <v>0</v>
      </c>
      <c r="AU135" s="126"/>
      <c r="AV135" s="126"/>
      <c r="AW135" s="126"/>
      <c r="AX135" s="126"/>
      <c r="AY135" s="126">
        <f t="shared" si="66"/>
        <v>0</v>
      </c>
      <c r="AZ135" s="127"/>
      <c r="BA135" s="127"/>
      <c r="BB135" s="2"/>
      <c r="BC135" s="27" t="e">
        <f t="shared" si="67"/>
        <v>#N/A</v>
      </c>
      <c r="BD135" s="27" t="e">
        <f t="shared" si="68"/>
        <v>#N/A</v>
      </c>
      <c r="BE135" s="27"/>
      <c r="BF135" s="27">
        <f t="shared" si="69"/>
        <v>0</v>
      </c>
      <c r="BG135" s="27"/>
      <c r="BH135" s="27" t="e">
        <f t="shared" si="70"/>
        <v>#N/A</v>
      </c>
      <c r="BI135" s="27" t="e">
        <f t="shared" si="71"/>
        <v>#N/A</v>
      </c>
      <c r="BJ135" s="27" t="e">
        <f t="shared" si="72"/>
        <v>#N/A</v>
      </c>
      <c r="BK135" s="27"/>
      <c r="BL135" s="27"/>
      <c r="BM135" s="27" t="e">
        <f t="shared" si="73"/>
        <v>#N/A</v>
      </c>
      <c r="BN135" s="27" t="e">
        <f t="shared" si="74"/>
        <v>#N/A</v>
      </c>
      <c r="BO135" s="27" t="e">
        <f t="shared" si="75"/>
        <v>#N/A</v>
      </c>
      <c r="BP135" s="27"/>
      <c r="BQ135" s="27"/>
    </row>
    <row r="136" spans="1:69" x14ac:dyDescent="0.25">
      <c r="A136" s="128"/>
      <c r="B136" s="166"/>
      <c r="C136" s="126"/>
      <c r="D136" s="57" t="e">
        <f>VLOOKUP(G136,[1]!ModTbl,2,0)</f>
        <v>#N/A</v>
      </c>
      <c r="E136" s="57" t="e">
        <f>VLOOKUP(G136,[1]!ModTbl,3,0)</f>
        <v>#N/A</v>
      </c>
      <c r="F136" s="57" t="e">
        <f>VLOOKUP(G136,[1]!ModTbl,4,0)</f>
        <v>#N/A</v>
      </c>
      <c r="G136" s="25"/>
      <c r="H136" s="128"/>
      <c r="I136" s="128"/>
      <c r="J136" s="58" t="e">
        <f>VLOOKUP(G136,[1]!ModTbl,8,0)</f>
        <v>#N/A</v>
      </c>
      <c r="K136" s="58" t="e">
        <f>VLOOKUP(G136,[1]!ModTbl,9,0)</f>
        <v>#N/A</v>
      </c>
      <c r="L136" s="58" t="e">
        <f>VLOOKUP(G136,[1]!ModTbl,10,0)</f>
        <v>#N/A</v>
      </c>
      <c r="M136" s="58">
        <v>0</v>
      </c>
      <c r="N136" s="126" t="e">
        <f t="shared" si="82"/>
        <v>#N/A</v>
      </c>
      <c r="O136" s="126" t="e">
        <f t="shared" si="42"/>
        <v>#N/A</v>
      </c>
      <c r="P136" s="126" t="e">
        <f t="shared" si="43"/>
        <v>#N/A</v>
      </c>
      <c r="Q136" s="126" t="e">
        <f t="shared" si="44"/>
        <v>#N/A</v>
      </c>
      <c r="R136" s="126" t="e">
        <f t="shared" si="45"/>
        <v>#N/A</v>
      </c>
      <c r="S136" s="126" t="e">
        <f t="shared" si="46"/>
        <v>#N/A</v>
      </c>
      <c r="T136" s="126" t="e">
        <f t="shared" si="47"/>
        <v>#N/A</v>
      </c>
      <c r="U136" s="94" t="e">
        <f t="shared" si="48"/>
        <v>#N/A</v>
      </c>
      <c r="V136" s="94" t="e">
        <f t="shared" si="49"/>
        <v>#N/A</v>
      </c>
      <c r="W136" s="94" t="e">
        <f t="shared" si="50"/>
        <v>#N/A</v>
      </c>
      <c r="X136" s="94" t="e">
        <f t="shared" si="51"/>
        <v>#N/A</v>
      </c>
      <c r="Y136" s="95">
        <f t="shared" si="52"/>
        <v>0</v>
      </c>
      <c r="Z136" s="126" t="e">
        <f t="shared" si="53"/>
        <v>#N/A</v>
      </c>
      <c r="AA136" s="126" t="e">
        <f t="shared" si="54"/>
        <v>#N/A</v>
      </c>
      <c r="AB136" s="126" t="e">
        <f t="shared" si="55"/>
        <v>#N/A</v>
      </c>
      <c r="AC136" s="126" t="e">
        <f t="shared" si="56"/>
        <v>#N/A</v>
      </c>
      <c r="AD136" s="126"/>
      <c r="AE136" s="126"/>
      <c r="AF136" s="126"/>
      <c r="AG136" s="126"/>
      <c r="AH136" s="126"/>
      <c r="AI136" s="126">
        <f t="shared" si="83"/>
        <v>0</v>
      </c>
      <c r="AJ136" s="126"/>
      <c r="AK136" s="94" t="e">
        <f t="shared" si="57"/>
        <v>#N/A</v>
      </c>
      <c r="AL136" s="94" t="e">
        <f t="shared" si="58"/>
        <v>#N/A</v>
      </c>
      <c r="AM136" s="94" t="e">
        <f t="shared" si="59"/>
        <v>#N/A</v>
      </c>
      <c r="AN136" s="94" t="e">
        <f t="shared" si="60"/>
        <v>#N/A</v>
      </c>
      <c r="AO136" s="95">
        <f t="shared" si="61"/>
        <v>0</v>
      </c>
      <c r="AP136" s="126" t="e">
        <f t="shared" si="62"/>
        <v>#N/A</v>
      </c>
      <c r="AQ136" s="126" t="e">
        <f t="shared" si="63"/>
        <v>#N/A</v>
      </c>
      <c r="AR136" s="126" t="e">
        <f t="shared" si="64"/>
        <v>#N/A</v>
      </c>
      <c r="AS136" s="126" t="e">
        <f t="shared" si="65"/>
        <v>#N/A</v>
      </c>
      <c r="AT136" s="126">
        <v>0</v>
      </c>
      <c r="AU136" s="126"/>
      <c r="AV136" s="126"/>
      <c r="AW136" s="126"/>
      <c r="AX136" s="126"/>
      <c r="AY136" s="126">
        <f t="shared" si="66"/>
        <v>0</v>
      </c>
      <c r="AZ136" s="127"/>
      <c r="BA136" s="127"/>
      <c r="BB136" s="2"/>
      <c r="BC136" s="27" t="e">
        <f t="shared" si="67"/>
        <v>#N/A</v>
      </c>
      <c r="BD136" s="27" t="e">
        <f t="shared" si="68"/>
        <v>#N/A</v>
      </c>
      <c r="BE136" s="27"/>
      <c r="BF136" s="27">
        <f t="shared" si="69"/>
        <v>0</v>
      </c>
      <c r="BG136" s="27"/>
      <c r="BH136" s="27" t="e">
        <f t="shared" si="70"/>
        <v>#N/A</v>
      </c>
      <c r="BI136" s="27" t="e">
        <f t="shared" si="71"/>
        <v>#N/A</v>
      </c>
      <c r="BJ136" s="27" t="e">
        <f t="shared" si="72"/>
        <v>#N/A</v>
      </c>
      <c r="BK136" s="27"/>
      <c r="BL136" s="27"/>
      <c r="BM136" s="27" t="e">
        <f t="shared" si="73"/>
        <v>#N/A</v>
      </c>
      <c r="BN136" s="27" t="e">
        <f t="shared" si="74"/>
        <v>#N/A</v>
      </c>
      <c r="BO136" s="27" t="e">
        <f t="shared" si="75"/>
        <v>#N/A</v>
      </c>
      <c r="BP136" s="27"/>
      <c r="BQ136" s="27"/>
    </row>
    <row r="137" spans="1:69" x14ac:dyDescent="0.25">
      <c r="A137" s="128"/>
      <c r="B137" s="166"/>
      <c r="C137" s="126"/>
      <c r="D137" s="57" t="e">
        <f>VLOOKUP(G137,[1]!ModTbl,2,0)</f>
        <v>#N/A</v>
      </c>
      <c r="E137" s="57" t="e">
        <f>VLOOKUP(G137,[1]!ModTbl,3,0)</f>
        <v>#N/A</v>
      </c>
      <c r="F137" s="57" t="e">
        <f>VLOOKUP(G137,[1]!ModTbl,4,0)</f>
        <v>#N/A</v>
      </c>
      <c r="G137" s="25"/>
      <c r="H137" s="128"/>
      <c r="I137" s="128"/>
      <c r="J137" s="58" t="e">
        <f>VLOOKUP(G137,[1]!ModTbl,8,0)</f>
        <v>#N/A</v>
      </c>
      <c r="K137" s="58" t="e">
        <f>VLOOKUP(G137,[1]!ModTbl,9,0)</f>
        <v>#N/A</v>
      </c>
      <c r="L137" s="58" t="e">
        <f>VLOOKUP(G137,[1]!ModTbl,10,0)</f>
        <v>#N/A</v>
      </c>
      <c r="M137" s="58">
        <v>0</v>
      </c>
      <c r="N137" s="126" t="e">
        <f t="shared" si="82"/>
        <v>#N/A</v>
      </c>
      <c r="O137" s="126" t="e">
        <f t="shared" si="42"/>
        <v>#N/A</v>
      </c>
      <c r="P137" s="126" t="e">
        <f t="shared" si="43"/>
        <v>#N/A</v>
      </c>
      <c r="Q137" s="126" t="e">
        <f t="shared" si="44"/>
        <v>#N/A</v>
      </c>
      <c r="R137" s="126" t="e">
        <f t="shared" si="45"/>
        <v>#N/A</v>
      </c>
      <c r="S137" s="126" t="e">
        <f t="shared" si="46"/>
        <v>#N/A</v>
      </c>
      <c r="T137" s="126" t="e">
        <f t="shared" si="47"/>
        <v>#N/A</v>
      </c>
      <c r="U137" s="94" t="e">
        <f t="shared" si="48"/>
        <v>#N/A</v>
      </c>
      <c r="V137" s="94" t="e">
        <f t="shared" si="49"/>
        <v>#N/A</v>
      </c>
      <c r="W137" s="94" t="e">
        <f t="shared" si="50"/>
        <v>#N/A</v>
      </c>
      <c r="X137" s="94" t="e">
        <f t="shared" si="51"/>
        <v>#N/A</v>
      </c>
      <c r="Y137" s="95">
        <f t="shared" si="52"/>
        <v>0</v>
      </c>
      <c r="Z137" s="126" t="e">
        <f t="shared" si="53"/>
        <v>#N/A</v>
      </c>
      <c r="AA137" s="126" t="e">
        <f t="shared" si="54"/>
        <v>#N/A</v>
      </c>
      <c r="AB137" s="126" t="e">
        <f t="shared" si="55"/>
        <v>#N/A</v>
      </c>
      <c r="AC137" s="126" t="e">
        <f t="shared" si="56"/>
        <v>#N/A</v>
      </c>
      <c r="AD137" s="126"/>
      <c r="AE137" s="126"/>
      <c r="AF137" s="126"/>
      <c r="AG137" s="126"/>
      <c r="AH137" s="126"/>
      <c r="AI137" s="126">
        <f t="shared" si="83"/>
        <v>0</v>
      </c>
      <c r="AJ137" s="126"/>
      <c r="AK137" s="94" t="e">
        <f t="shared" si="57"/>
        <v>#N/A</v>
      </c>
      <c r="AL137" s="94" t="e">
        <f t="shared" si="58"/>
        <v>#N/A</v>
      </c>
      <c r="AM137" s="94" t="e">
        <f t="shared" si="59"/>
        <v>#N/A</v>
      </c>
      <c r="AN137" s="94" t="e">
        <f t="shared" si="60"/>
        <v>#N/A</v>
      </c>
      <c r="AO137" s="95">
        <f t="shared" si="61"/>
        <v>0</v>
      </c>
      <c r="AP137" s="126" t="e">
        <f t="shared" si="62"/>
        <v>#N/A</v>
      </c>
      <c r="AQ137" s="126" t="e">
        <f t="shared" si="63"/>
        <v>#N/A</v>
      </c>
      <c r="AR137" s="126" t="e">
        <f t="shared" si="64"/>
        <v>#N/A</v>
      </c>
      <c r="AS137" s="126" t="e">
        <f t="shared" si="65"/>
        <v>#N/A</v>
      </c>
      <c r="AT137" s="126">
        <v>0</v>
      </c>
      <c r="AU137" s="126"/>
      <c r="AV137" s="126"/>
      <c r="AW137" s="126"/>
      <c r="AX137" s="126"/>
      <c r="AY137" s="126">
        <f t="shared" si="66"/>
        <v>0</v>
      </c>
      <c r="AZ137" s="127"/>
      <c r="BA137" s="127"/>
      <c r="BB137" s="2"/>
      <c r="BC137" s="27" t="e">
        <f t="shared" si="67"/>
        <v>#N/A</v>
      </c>
      <c r="BD137" s="27" t="e">
        <f t="shared" si="68"/>
        <v>#N/A</v>
      </c>
      <c r="BE137" s="27"/>
      <c r="BF137" s="27">
        <f t="shared" si="69"/>
        <v>0</v>
      </c>
      <c r="BG137" s="27"/>
      <c r="BH137" s="27" t="e">
        <f t="shared" si="70"/>
        <v>#N/A</v>
      </c>
      <c r="BI137" s="27" t="e">
        <f t="shared" si="71"/>
        <v>#N/A</v>
      </c>
      <c r="BJ137" s="27" t="e">
        <f t="shared" si="72"/>
        <v>#N/A</v>
      </c>
      <c r="BK137" s="27"/>
      <c r="BL137" s="27"/>
      <c r="BM137" s="27" t="e">
        <f t="shared" si="73"/>
        <v>#N/A</v>
      </c>
      <c r="BN137" s="27" t="e">
        <f t="shared" si="74"/>
        <v>#N/A</v>
      </c>
      <c r="BO137" s="27" t="e">
        <f t="shared" si="75"/>
        <v>#N/A</v>
      </c>
      <c r="BP137" s="27"/>
      <c r="BQ137" s="27"/>
    </row>
    <row r="138" spans="1:69" x14ac:dyDescent="0.25">
      <c r="A138" s="128"/>
      <c r="B138" s="166"/>
      <c r="C138" s="126"/>
      <c r="D138" s="57" t="e">
        <f>VLOOKUP(G138,[1]!ModTbl,2,0)</f>
        <v>#N/A</v>
      </c>
      <c r="E138" s="57" t="e">
        <f>VLOOKUP(G138,[1]!ModTbl,3,0)</f>
        <v>#N/A</v>
      </c>
      <c r="F138" s="57" t="e">
        <f>VLOOKUP(G138,[1]!ModTbl,4,0)</f>
        <v>#N/A</v>
      </c>
      <c r="G138" s="25"/>
      <c r="H138" s="128"/>
      <c r="I138" s="128"/>
      <c r="J138" s="58" t="e">
        <f>VLOOKUP(G138,[1]!ModTbl,8,0)</f>
        <v>#N/A</v>
      </c>
      <c r="K138" s="58" t="e">
        <f>VLOOKUP(G138,[1]!ModTbl,9,0)</f>
        <v>#N/A</v>
      </c>
      <c r="L138" s="58" t="e">
        <f>VLOOKUP(G138,[1]!ModTbl,10,0)</f>
        <v>#N/A</v>
      </c>
      <c r="M138" s="58">
        <v>0</v>
      </c>
      <c r="N138" s="126" t="e">
        <f t="shared" si="82"/>
        <v>#N/A</v>
      </c>
      <c r="O138" s="126" t="e">
        <f t="shared" si="42"/>
        <v>#N/A</v>
      </c>
      <c r="P138" s="126" t="e">
        <f t="shared" si="43"/>
        <v>#N/A</v>
      </c>
      <c r="Q138" s="126" t="e">
        <f t="shared" si="44"/>
        <v>#N/A</v>
      </c>
      <c r="R138" s="126" t="e">
        <f t="shared" si="45"/>
        <v>#N/A</v>
      </c>
      <c r="S138" s="126" t="e">
        <f t="shared" si="46"/>
        <v>#N/A</v>
      </c>
      <c r="T138" s="126" t="e">
        <f t="shared" si="47"/>
        <v>#N/A</v>
      </c>
      <c r="U138" s="94" t="e">
        <f t="shared" si="48"/>
        <v>#N/A</v>
      </c>
      <c r="V138" s="94" t="e">
        <f t="shared" si="49"/>
        <v>#N/A</v>
      </c>
      <c r="W138" s="94" t="e">
        <f t="shared" si="50"/>
        <v>#N/A</v>
      </c>
      <c r="X138" s="94" t="e">
        <f t="shared" si="51"/>
        <v>#N/A</v>
      </c>
      <c r="Y138" s="95">
        <f t="shared" si="52"/>
        <v>0</v>
      </c>
      <c r="Z138" s="126" t="e">
        <f t="shared" si="53"/>
        <v>#N/A</v>
      </c>
      <c r="AA138" s="126" t="e">
        <f t="shared" si="54"/>
        <v>#N/A</v>
      </c>
      <c r="AB138" s="126" t="e">
        <f t="shared" si="55"/>
        <v>#N/A</v>
      </c>
      <c r="AC138" s="126" t="e">
        <f t="shared" si="56"/>
        <v>#N/A</v>
      </c>
      <c r="AD138" s="126"/>
      <c r="AE138" s="126"/>
      <c r="AF138" s="126"/>
      <c r="AG138" s="126"/>
      <c r="AH138" s="126"/>
      <c r="AI138" s="126">
        <f t="shared" si="83"/>
        <v>0</v>
      </c>
      <c r="AJ138" s="126"/>
      <c r="AK138" s="94" t="e">
        <f t="shared" si="57"/>
        <v>#N/A</v>
      </c>
      <c r="AL138" s="94" t="e">
        <f t="shared" si="58"/>
        <v>#N/A</v>
      </c>
      <c r="AM138" s="94" t="e">
        <f t="shared" si="59"/>
        <v>#N/A</v>
      </c>
      <c r="AN138" s="94" t="e">
        <f t="shared" si="60"/>
        <v>#N/A</v>
      </c>
      <c r="AO138" s="95">
        <f t="shared" si="61"/>
        <v>0</v>
      </c>
      <c r="AP138" s="126" t="e">
        <f t="shared" si="62"/>
        <v>#N/A</v>
      </c>
      <c r="AQ138" s="126" t="e">
        <f t="shared" si="63"/>
        <v>#N/A</v>
      </c>
      <c r="AR138" s="126" t="e">
        <f t="shared" si="64"/>
        <v>#N/A</v>
      </c>
      <c r="AS138" s="126" t="e">
        <f t="shared" si="65"/>
        <v>#N/A</v>
      </c>
      <c r="AT138" s="126">
        <v>0</v>
      </c>
      <c r="AU138" s="126"/>
      <c r="AV138" s="126"/>
      <c r="AW138" s="126"/>
      <c r="AX138" s="126"/>
      <c r="AY138" s="126">
        <f t="shared" si="66"/>
        <v>0</v>
      </c>
      <c r="AZ138" s="127"/>
      <c r="BA138" s="127"/>
      <c r="BB138" s="2"/>
      <c r="BC138" s="27" t="e">
        <f t="shared" si="67"/>
        <v>#N/A</v>
      </c>
      <c r="BD138" s="27" t="e">
        <f t="shared" si="68"/>
        <v>#N/A</v>
      </c>
      <c r="BE138" s="27"/>
      <c r="BF138" s="27">
        <f t="shared" si="69"/>
        <v>0</v>
      </c>
      <c r="BG138" s="27"/>
      <c r="BH138" s="27" t="e">
        <f t="shared" si="70"/>
        <v>#N/A</v>
      </c>
      <c r="BI138" s="27" t="e">
        <f t="shared" si="71"/>
        <v>#N/A</v>
      </c>
      <c r="BJ138" s="27" t="e">
        <f t="shared" si="72"/>
        <v>#N/A</v>
      </c>
      <c r="BK138" s="27"/>
      <c r="BL138" s="27"/>
      <c r="BM138" s="27" t="e">
        <f t="shared" si="73"/>
        <v>#N/A</v>
      </c>
      <c r="BN138" s="27" t="e">
        <f t="shared" si="74"/>
        <v>#N/A</v>
      </c>
      <c r="BO138" s="27" t="e">
        <f t="shared" si="75"/>
        <v>#N/A</v>
      </c>
      <c r="BP138" s="27"/>
      <c r="BQ138" s="27"/>
    </row>
    <row r="139" spans="1:69" x14ac:dyDescent="0.25">
      <c r="A139" s="128"/>
      <c r="B139" s="166"/>
      <c r="C139" s="126"/>
      <c r="D139" s="57" t="e">
        <f>VLOOKUP(G139,[1]!ModTbl,2,0)</f>
        <v>#N/A</v>
      </c>
      <c r="E139" s="57" t="e">
        <f>VLOOKUP(G139,[1]!ModTbl,3,0)</f>
        <v>#N/A</v>
      </c>
      <c r="F139" s="57" t="e">
        <f>VLOOKUP(G139,[1]!ModTbl,4,0)</f>
        <v>#N/A</v>
      </c>
      <c r="G139" s="25"/>
      <c r="H139" s="128"/>
      <c r="I139" s="128"/>
      <c r="J139" s="58" t="e">
        <f>VLOOKUP(G139,[1]!ModTbl,8,0)</f>
        <v>#N/A</v>
      </c>
      <c r="K139" s="58" t="e">
        <f>VLOOKUP(G139,[1]!ModTbl,9,0)</f>
        <v>#N/A</v>
      </c>
      <c r="L139" s="58" t="e">
        <f>VLOOKUP(G139,[1]!ModTbl,10,0)</f>
        <v>#N/A</v>
      </c>
      <c r="M139" s="58">
        <v>0</v>
      </c>
      <c r="N139" s="126" t="e">
        <f t="shared" si="82"/>
        <v>#N/A</v>
      </c>
      <c r="O139" s="126" t="e">
        <f t="shared" si="42"/>
        <v>#N/A</v>
      </c>
      <c r="P139" s="126" t="e">
        <f t="shared" si="43"/>
        <v>#N/A</v>
      </c>
      <c r="Q139" s="126" t="e">
        <f t="shared" si="44"/>
        <v>#N/A</v>
      </c>
      <c r="R139" s="126" t="e">
        <f t="shared" si="45"/>
        <v>#N/A</v>
      </c>
      <c r="S139" s="126" t="e">
        <f t="shared" si="46"/>
        <v>#N/A</v>
      </c>
      <c r="T139" s="126" t="e">
        <f t="shared" si="47"/>
        <v>#N/A</v>
      </c>
      <c r="U139" s="94" t="e">
        <f t="shared" si="48"/>
        <v>#N/A</v>
      </c>
      <c r="V139" s="94" t="e">
        <f t="shared" si="49"/>
        <v>#N/A</v>
      </c>
      <c r="W139" s="94" t="e">
        <f t="shared" si="50"/>
        <v>#N/A</v>
      </c>
      <c r="X139" s="94" t="e">
        <f t="shared" si="51"/>
        <v>#N/A</v>
      </c>
      <c r="Y139" s="95">
        <f t="shared" si="52"/>
        <v>0</v>
      </c>
      <c r="Z139" s="126" t="e">
        <f t="shared" si="53"/>
        <v>#N/A</v>
      </c>
      <c r="AA139" s="126" t="e">
        <f t="shared" si="54"/>
        <v>#N/A</v>
      </c>
      <c r="AB139" s="126" t="e">
        <f t="shared" si="55"/>
        <v>#N/A</v>
      </c>
      <c r="AC139" s="126" t="e">
        <f t="shared" si="56"/>
        <v>#N/A</v>
      </c>
      <c r="AD139" s="126"/>
      <c r="AE139" s="126"/>
      <c r="AF139" s="126"/>
      <c r="AG139" s="126"/>
      <c r="AH139" s="126"/>
      <c r="AI139" s="126">
        <f t="shared" si="83"/>
        <v>0</v>
      </c>
      <c r="AJ139" s="126"/>
      <c r="AK139" s="94" t="e">
        <f t="shared" si="57"/>
        <v>#N/A</v>
      </c>
      <c r="AL139" s="94" t="e">
        <f t="shared" si="58"/>
        <v>#N/A</v>
      </c>
      <c r="AM139" s="94" t="e">
        <f t="shared" si="59"/>
        <v>#N/A</v>
      </c>
      <c r="AN139" s="94" t="e">
        <f t="shared" si="60"/>
        <v>#N/A</v>
      </c>
      <c r="AO139" s="95">
        <f t="shared" si="61"/>
        <v>0</v>
      </c>
      <c r="AP139" s="126" t="e">
        <f t="shared" si="62"/>
        <v>#N/A</v>
      </c>
      <c r="AQ139" s="126" t="e">
        <f t="shared" si="63"/>
        <v>#N/A</v>
      </c>
      <c r="AR139" s="126" t="e">
        <f t="shared" si="64"/>
        <v>#N/A</v>
      </c>
      <c r="AS139" s="126" t="e">
        <f t="shared" si="65"/>
        <v>#N/A</v>
      </c>
      <c r="AT139" s="126">
        <v>0</v>
      </c>
      <c r="AU139" s="126"/>
      <c r="AV139" s="126"/>
      <c r="AW139" s="126"/>
      <c r="AX139" s="126"/>
      <c r="AY139" s="126">
        <f t="shared" si="66"/>
        <v>0</v>
      </c>
      <c r="AZ139" s="127"/>
      <c r="BA139" s="127"/>
      <c r="BB139" s="2"/>
      <c r="BC139" s="27" t="e">
        <f t="shared" si="67"/>
        <v>#N/A</v>
      </c>
      <c r="BD139" s="27" t="e">
        <f t="shared" si="68"/>
        <v>#N/A</v>
      </c>
      <c r="BE139" s="27"/>
      <c r="BF139" s="27">
        <f t="shared" si="69"/>
        <v>0</v>
      </c>
      <c r="BG139" s="27"/>
      <c r="BH139" s="27" t="e">
        <f t="shared" si="70"/>
        <v>#N/A</v>
      </c>
      <c r="BI139" s="27" t="e">
        <f t="shared" si="71"/>
        <v>#N/A</v>
      </c>
      <c r="BJ139" s="27" t="e">
        <f t="shared" si="72"/>
        <v>#N/A</v>
      </c>
      <c r="BK139" s="27"/>
      <c r="BL139" s="27"/>
      <c r="BM139" s="27" t="e">
        <f t="shared" si="73"/>
        <v>#N/A</v>
      </c>
      <c r="BN139" s="27" t="e">
        <f t="shared" si="74"/>
        <v>#N/A</v>
      </c>
      <c r="BO139" s="27" t="e">
        <f t="shared" si="75"/>
        <v>#N/A</v>
      </c>
      <c r="BP139" s="27"/>
      <c r="BQ139" s="27"/>
    </row>
    <row r="140" spans="1:69" x14ac:dyDescent="0.25">
      <c r="A140" s="128"/>
      <c r="B140" s="166"/>
      <c r="C140" s="126"/>
      <c r="D140" s="57" t="e">
        <f>VLOOKUP(G140,[1]!ModTbl,2,0)</f>
        <v>#N/A</v>
      </c>
      <c r="E140" s="57" t="e">
        <f>VLOOKUP(G140,[1]!ModTbl,3,0)</f>
        <v>#N/A</v>
      </c>
      <c r="F140" s="57" t="e">
        <f>VLOOKUP(G140,[1]!ModTbl,4,0)</f>
        <v>#N/A</v>
      </c>
      <c r="G140" s="25"/>
      <c r="H140" s="128"/>
      <c r="I140" s="128"/>
      <c r="J140" s="58" t="e">
        <f>VLOOKUP(G140,[1]!ModTbl,8,0)</f>
        <v>#N/A</v>
      </c>
      <c r="K140" s="58" t="e">
        <f>VLOOKUP(G140,[1]!ModTbl,9,0)</f>
        <v>#N/A</v>
      </c>
      <c r="L140" s="58" t="e">
        <f>VLOOKUP(G140,[1]!ModTbl,10,0)</f>
        <v>#N/A</v>
      </c>
      <c r="M140" s="58">
        <v>0</v>
      </c>
      <c r="N140" s="126" t="e">
        <f t="shared" si="82"/>
        <v>#N/A</v>
      </c>
      <c r="O140" s="126" t="e">
        <f t="shared" si="42"/>
        <v>#N/A</v>
      </c>
      <c r="P140" s="126" t="e">
        <f t="shared" si="43"/>
        <v>#N/A</v>
      </c>
      <c r="Q140" s="126" t="e">
        <f t="shared" si="44"/>
        <v>#N/A</v>
      </c>
      <c r="R140" s="126" t="e">
        <f t="shared" si="45"/>
        <v>#N/A</v>
      </c>
      <c r="S140" s="126" t="e">
        <f t="shared" si="46"/>
        <v>#N/A</v>
      </c>
      <c r="T140" s="126" t="e">
        <f t="shared" si="47"/>
        <v>#N/A</v>
      </c>
      <c r="U140" s="94" t="e">
        <f t="shared" si="48"/>
        <v>#N/A</v>
      </c>
      <c r="V140" s="94" t="e">
        <f t="shared" si="49"/>
        <v>#N/A</v>
      </c>
      <c r="W140" s="94" t="e">
        <f t="shared" si="50"/>
        <v>#N/A</v>
      </c>
      <c r="X140" s="94" t="e">
        <f t="shared" si="51"/>
        <v>#N/A</v>
      </c>
      <c r="Y140" s="95">
        <f t="shared" si="52"/>
        <v>0</v>
      </c>
      <c r="Z140" s="126" t="e">
        <f t="shared" si="53"/>
        <v>#N/A</v>
      </c>
      <c r="AA140" s="126" t="e">
        <f t="shared" si="54"/>
        <v>#N/A</v>
      </c>
      <c r="AB140" s="126" t="e">
        <f t="shared" si="55"/>
        <v>#N/A</v>
      </c>
      <c r="AC140" s="126" t="e">
        <f t="shared" si="56"/>
        <v>#N/A</v>
      </c>
      <c r="AD140" s="126"/>
      <c r="AE140" s="126"/>
      <c r="AF140" s="126"/>
      <c r="AG140" s="126"/>
      <c r="AH140" s="126"/>
      <c r="AI140" s="126">
        <f t="shared" si="83"/>
        <v>0</v>
      </c>
      <c r="AJ140" s="126"/>
      <c r="AK140" s="94" t="e">
        <f t="shared" si="57"/>
        <v>#N/A</v>
      </c>
      <c r="AL140" s="94" t="e">
        <f t="shared" si="58"/>
        <v>#N/A</v>
      </c>
      <c r="AM140" s="94" t="e">
        <f t="shared" si="59"/>
        <v>#N/A</v>
      </c>
      <c r="AN140" s="94" t="e">
        <f t="shared" si="60"/>
        <v>#N/A</v>
      </c>
      <c r="AO140" s="95">
        <f t="shared" si="61"/>
        <v>0</v>
      </c>
      <c r="AP140" s="126" t="e">
        <f t="shared" si="62"/>
        <v>#N/A</v>
      </c>
      <c r="AQ140" s="126" t="e">
        <f t="shared" si="63"/>
        <v>#N/A</v>
      </c>
      <c r="AR140" s="126" t="e">
        <f t="shared" si="64"/>
        <v>#N/A</v>
      </c>
      <c r="AS140" s="126" t="e">
        <f t="shared" si="65"/>
        <v>#N/A</v>
      </c>
      <c r="AT140" s="126">
        <v>0</v>
      </c>
      <c r="AU140" s="126"/>
      <c r="AV140" s="126"/>
      <c r="AW140" s="126"/>
      <c r="AX140" s="126"/>
      <c r="AY140" s="126">
        <f t="shared" si="66"/>
        <v>0</v>
      </c>
      <c r="AZ140" s="127"/>
      <c r="BA140" s="127"/>
      <c r="BB140" s="2"/>
      <c r="BC140" s="27" t="e">
        <f t="shared" si="67"/>
        <v>#N/A</v>
      </c>
      <c r="BD140" s="27" t="e">
        <f t="shared" si="68"/>
        <v>#N/A</v>
      </c>
      <c r="BE140" s="27"/>
      <c r="BF140" s="27">
        <f t="shared" si="69"/>
        <v>0</v>
      </c>
      <c r="BG140" s="27"/>
      <c r="BH140" s="27" t="e">
        <f t="shared" si="70"/>
        <v>#N/A</v>
      </c>
      <c r="BI140" s="27" t="e">
        <f t="shared" si="71"/>
        <v>#N/A</v>
      </c>
      <c r="BJ140" s="27" t="e">
        <f t="shared" si="72"/>
        <v>#N/A</v>
      </c>
      <c r="BK140" s="27"/>
      <c r="BL140" s="27"/>
      <c r="BM140" s="27" t="e">
        <f t="shared" si="73"/>
        <v>#N/A</v>
      </c>
      <c r="BN140" s="27" t="e">
        <f t="shared" si="74"/>
        <v>#N/A</v>
      </c>
      <c r="BO140" s="27" t="e">
        <f t="shared" si="75"/>
        <v>#N/A</v>
      </c>
      <c r="BP140" s="27"/>
      <c r="BQ140" s="27"/>
    </row>
    <row r="141" spans="1:69" x14ac:dyDescent="0.25">
      <c r="O141" s="126">
        <f t="shared" ref="O141:O160" si="84">J141/15</f>
        <v>0</v>
      </c>
      <c r="P141" s="126">
        <f t="shared" ref="P141:P160" si="85">J141/15</f>
        <v>0</v>
      </c>
      <c r="Q141" s="126">
        <f t="shared" ref="Q141:Q160" si="86">K141/15</f>
        <v>0</v>
      </c>
      <c r="R141" s="126">
        <f t="shared" ref="R141:R160" si="87">K141/15</f>
        <v>0</v>
      </c>
      <c r="S141" s="126">
        <f t="shared" ref="S141:S160" si="88">L141/15</f>
        <v>0</v>
      </c>
      <c r="T141" s="126">
        <f t="shared" ref="T141:T160" si="89">L141/15</f>
        <v>0</v>
      </c>
      <c r="U141" s="94">
        <f t="shared" ref="U141:U160" si="90">IF(J141&lt;&gt;0,IF(I141="Y",IF(Y141&lt;&gt;0,1,0),0),0)</f>
        <v>0</v>
      </c>
      <c r="V141" s="94">
        <f t="shared" ref="V141:V160" si="91">IF(J141&lt;&gt;0,ROUNDUP(AD141/2,0),0)</f>
        <v>0</v>
      </c>
      <c r="W141" s="94">
        <f t="shared" ref="W141:W160" si="92">IF(K141&lt;&gt;0,AD141,0)</f>
        <v>0</v>
      </c>
      <c r="X141" s="94">
        <f t="shared" ref="X141:X160" si="93">IF(L141&lt;&gt;0,AD141,0)</f>
        <v>0</v>
      </c>
      <c r="Y141" s="95">
        <f t="shared" ref="Y141:Y160" si="94">AI141</f>
        <v>0</v>
      </c>
      <c r="Z141" s="126">
        <f t="shared" ref="Z141:Z160" si="95">U141*J141</f>
        <v>0</v>
      </c>
      <c r="AA141" s="126">
        <f t="shared" ref="AA141:AA160" si="96">V141*J141</f>
        <v>0</v>
      </c>
      <c r="AB141" s="126">
        <f t="shared" ref="AB141:AB160" si="97">W141*K141</f>
        <v>0</v>
      </c>
      <c r="AC141" s="126">
        <f t="shared" ref="AC141:AC160" si="98">X141*L141</f>
        <v>0</v>
      </c>
      <c r="AK141" s="94">
        <f t="shared" ref="AK141:AK160" si="99">IF(J141&lt;&gt;0,IF(I141="Y",IF(AO141&lt;&gt;0,1,0),0),0)</f>
        <v>0</v>
      </c>
      <c r="AL141" s="94">
        <f t="shared" ref="AL141:AL160" si="100">IF(J141&lt;&gt;0,ROUNDUP(AT141/2,0),0)</f>
        <v>0</v>
      </c>
      <c r="AM141" s="94">
        <f t="shared" ref="AM141:AM160" si="101">IF(K141&lt;&gt;0,AT141,0)</f>
        <v>0</v>
      </c>
      <c r="AN141" s="94">
        <f t="shared" ref="AN141:AN160" si="102">IF(L141&lt;&gt;0,AT141,0)</f>
        <v>0</v>
      </c>
      <c r="AO141" s="95">
        <f t="shared" ref="AO141:AO160" si="103">AY141</f>
        <v>0</v>
      </c>
      <c r="AP141" s="126">
        <f t="shared" ref="AP141:AP160" si="104">AK141*AVERAGE(O141:P141)*15</f>
        <v>0</v>
      </c>
      <c r="AQ141" s="126">
        <f t="shared" ref="AQ141:AQ160" si="105">AL141*AVERAGE(O141:P141)*15</f>
        <v>0</v>
      </c>
      <c r="AR141" s="126">
        <f t="shared" ref="AR141:AR160" si="106">AM141*AVERAGE(Q141:R141)*15</f>
        <v>0</v>
      </c>
      <c r="AS141" s="126">
        <f t="shared" ref="AS141:AS160" si="107">AN141*AVERAGE(S141:T141)*15</f>
        <v>0</v>
      </c>
      <c r="AT141" s="126">
        <v>0</v>
      </c>
      <c r="AU141" s="126"/>
      <c r="AV141" s="126"/>
      <c r="AW141" s="126"/>
      <c r="AX141" s="126"/>
      <c r="AY141" s="126">
        <f t="shared" ref="AY141:AY160" si="108">SUM($AU141:$AX141)</f>
        <v>0</v>
      </c>
      <c r="AZ141" s="127"/>
      <c r="BA141" s="127"/>
      <c r="BB141" s="2"/>
      <c r="BC141" s="27">
        <f t="shared" ref="BC141:BC160" si="109">SUM(Z141:AC141)</f>
        <v>0</v>
      </c>
      <c r="BD141" s="27">
        <f t="shared" ref="BD141:BD160" si="110">SUM(AP141:AS141)</f>
        <v>0</v>
      </c>
      <c r="BE141" s="27"/>
      <c r="BF141" s="27">
        <f t="shared" ref="BF141:BF160" si="111">IF($BD$3="S1",IF(Y141=0,0,IF(ISNUMBER(SEARCH("Changed",H141)),2,1)),IF(AO141=0,0,IF(ISNUMBER(SEARCH("Changed",H141)),2,1)))</f>
        <v>0</v>
      </c>
      <c r="BG141" s="27"/>
      <c r="BH141" s="27">
        <f t="shared" ref="BH141:BH160" si="112">Z141+AA141</f>
        <v>0</v>
      </c>
      <c r="BI141" s="27">
        <f t="shared" ref="BI141:BI160" si="113">AB141</f>
        <v>0</v>
      </c>
      <c r="BJ141" s="27">
        <f t="shared" ref="BJ141:BJ160" si="114">AC141</f>
        <v>0</v>
      </c>
      <c r="BK141" s="27"/>
      <c r="BL141" s="27"/>
      <c r="BM141" s="27">
        <f t="shared" ref="BM141:BM160" si="115">AP141+AQ141</f>
        <v>0</v>
      </c>
      <c r="BN141" s="27">
        <f t="shared" ref="BN141:BN160" si="116">AR141</f>
        <v>0</v>
      </c>
      <c r="BO141" s="27">
        <f t="shared" ref="BO141:BO160" si="117">AS141</f>
        <v>0</v>
      </c>
      <c r="BP141" s="27"/>
      <c r="BQ141" s="27"/>
    </row>
    <row r="142" spans="1:69" x14ac:dyDescent="0.25">
      <c r="O142" s="126">
        <f t="shared" si="84"/>
        <v>0</v>
      </c>
      <c r="P142" s="126">
        <f t="shared" si="85"/>
        <v>0</v>
      </c>
      <c r="Q142" s="126">
        <f t="shared" si="86"/>
        <v>0</v>
      </c>
      <c r="R142" s="126">
        <f t="shared" si="87"/>
        <v>0</v>
      </c>
      <c r="S142" s="126">
        <f t="shared" si="88"/>
        <v>0</v>
      </c>
      <c r="T142" s="126">
        <f t="shared" si="89"/>
        <v>0</v>
      </c>
      <c r="U142" s="94">
        <f t="shared" si="90"/>
        <v>0</v>
      </c>
      <c r="V142" s="94">
        <f t="shared" si="91"/>
        <v>0</v>
      </c>
      <c r="W142" s="94">
        <f t="shared" si="92"/>
        <v>0</v>
      </c>
      <c r="X142" s="94">
        <f t="shared" si="93"/>
        <v>0</v>
      </c>
      <c r="Y142" s="95">
        <f t="shared" si="94"/>
        <v>0</v>
      </c>
      <c r="Z142" s="126">
        <f t="shared" si="95"/>
        <v>0</v>
      </c>
      <c r="AA142" s="126">
        <f t="shared" si="96"/>
        <v>0</v>
      </c>
      <c r="AB142" s="126">
        <f t="shared" si="97"/>
        <v>0</v>
      </c>
      <c r="AC142" s="126">
        <f t="shared" si="98"/>
        <v>0</v>
      </c>
      <c r="AK142" s="94">
        <f t="shared" si="99"/>
        <v>0</v>
      </c>
      <c r="AL142" s="94">
        <f t="shared" si="100"/>
        <v>0</v>
      </c>
      <c r="AM142" s="94">
        <f t="shared" si="101"/>
        <v>0</v>
      </c>
      <c r="AN142" s="94">
        <f t="shared" si="102"/>
        <v>0</v>
      </c>
      <c r="AO142" s="95">
        <f t="shared" si="103"/>
        <v>0</v>
      </c>
      <c r="AP142" s="126">
        <f t="shared" si="104"/>
        <v>0</v>
      </c>
      <c r="AQ142" s="126">
        <f t="shared" si="105"/>
        <v>0</v>
      </c>
      <c r="AR142" s="126">
        <f t="shared" si="106"/>
        <v>0</v>
      </c>
      <c r="AS142" s="126">
        <f t="shared" si="107"/>
        <v>0</v>
      </c>
      <c r="AT142" s="126">
        <v>0</v>
      </c>
      <c r="AU142" s="126"/>
      <c r="AV142" s="126"/>
      <c r="AW142" s="126"/>
      <c r="AX142" s="126"/>
      <c r="AY142" s="126">
        <f t="shared" si="108"/>
        <v>0</v>
      </c>
      <c r="AZ142" s="127"/>
      <c r="BA142" s="127"/>
      <c r="BB142" s="2"/>
      <c r="BC142" s="27">
        <f t="shared" si="109"/>
        <v>0</v>
      </c>
      <c r="BD142" s="27">
        <f t="shared" si="110"/>
        <v>0</v>
      </c>
      <c r="BE142" s="27"/>
      <c r="BF142" s="27">
        <f t="shared" si="111"/>
        <v>0</v>
      </c>
      <c r="BG142" s="27"/>
      <c r="BH142" s="27">
        <f t="shared" si="112"/>
        <v>0</v>
      </c>
      <c r="BI142" s="27">
        <f t="shared" si="113"/>
        <v>0</v>
      </c>
      <c r="BJ142" s="27">
        <f t="shared" si="114"/>
        <v>0</v>
      </c>
      <c r="BK142" s="27"/>
      <c r="BL142" s="27"/>
      <c r="BM142" s="27">
        <f t="shared" si="115"/>
        <v>0</v>
      </c>
      <c r="BN142" s="27">
        <f t="shared" si="116"/>
        <v>0</v>
      </c>
      <c r="BO142" s="27">
        <f t="shared" si="117"/>
        <v>0</v>
      </c>
      <c r="BP142" s="27"/>
      <c r="BQ142" s="27"/>
    </row>
    <row r="143" spans="1:69" x14ac:dyDescent="0.25">
      <c r="O143" s="126">
        <f t="shared" si="84"/>
        <v>0</v>
      </c>
      <c r="P143" s="126">
        <f t="shared" si="85"/>
        <v>0</v>
      </c>
      <c r="Q143" s="126">
        <f t="shared" si="86"/>
        <v>0</v>
      </c>
      <c r="R143" s="126">
        <f t="shared" si="87"/>
        <v>0</v>
      </c>
      <c r="S143" s="126">
        <f t="shared" si="88"/>
        <v>0</v>
      </c>
      <c r="T143" s="126">
        <f t="shared" si="89"/>
        <v>0</v>
      </c>
      <c r="U143" s="94">
        <f t="shared" si="90"/>
        <v>0</v>
      </c>
      <c r="V143" s="94">
        <f t="shared" si="91"/>
        <v>0</v>
      </c>
      <c r="W143" s="94">
        <f t="shared" si="92"/>
        <v>0</v>
      </c>
      <c r="X143" s="94">
        <f t="shared" si="93"/>
        <v>0</v>
      </c>
      <c r="Y143" s="95">
        <f t="shared" si="94"/>
        <v>0</v>
      </c>
      <c r="Z143" s="126">
        <f t="shared" si="95"/>
        <v>0</v>
      </c>
      <c r="AA143" s="126">
        <f t="shared" si="96"/>
        <v>0</v>
      </c>
      <c r="AB143" s="126">
        <f t="shared" si="97"/>
        <v>0</v>
      </c>
      <c r="AC143" s="126">
        <f t="shared" si="98"/>
        <v>0</v>
      </c>
      <c r="AK143" s="94">
        <f t="shared" si="99"/>
        <v>0</v>
      </c>
      <c r="AL143" s="94">
        <f t="shared" si="100"/>
        <v>0</v>
      </c>
      <c r="AM143" s="94">
        <f t="shared" si="101"/>
        <v>0</v>
      </c>
      <c r="AN143" s="94">
        <f t="shared" si="102"/>
        <v>0</v>
      </c>
      <c r="AO143" s="95">
        <f t="shared" si="103"/>
        <v>0</v>
      </c>
      <c r="AP143" s="126">
        <f t="shared" si="104"/>
        <v>0</v>
      </c>
      <c r="AQ143" s="126">
        <f t="shared" si="105"/>
        <v>0</v>
      </c>
      <c r="AR143" s="126">
        <f t="shared" si="106"/>
        <v>0</v>
      </c>
      <c r="AS143" s="126">
        <f t="shared" si="107"/>
        <v>0</v>
      </c>
      <c r="AT143" s="126">
        <v>0</v>
      </c>
      <c r="AU143" s="126"/>
      <c r="AV143" s="126"/>
      <c r="AW143" s="126"/>
      <c r="AX143" s="126"/>
      <c r="AY143" s="126">
        <f t="shared" si="108"/>
        <v>0</v>
      </c>
      <c r="AZ143" s="127"/>
      <c r="BA143" s="127"/>
      <c r="BB143" s="2"/>
      <c r="BC143" s="27">
        <f t="shared" si="109"/>
        <v>0</v>
      </c>
      <c r="BD143" s="27">
        <f t="shared" si="110"/>
        <v>0</v>
      </c>
      <c r="BE143" s="27"/>
      <c r="BF143" s="27">
        <f t="shared" si="111"/>
        <v>0</v>
      </c>
      <c r="BG143" s="27"/>
      <c r="BH143" s="27">
        <f t="shared" si="112"/>
        <v>0</v>
      </c>
      <c r="BI143" s="27">
        <f t="shared" si="113"/>
        <v>0</v>
      </c>
      <c r="BJ143" s="27">
        <f t="shared" si="114"/>
        <v>0</v>
      </c>
      <c r="BK143" s="27"/>
      <c r="BL143" s="27"/>
      <c r="BM143" s="27">
        <f t="shared" si="115"/>
        <v>0</v>
      </c>
      <c r="BN143" s="27">
        <f t="shared" si="116"/>
        <v>0</v>
      </c>
      <c r="BO143" s="27">
        <f t="shared" si="117"/>
        <v>0</v>
      </c>
      <c r="BP143" s="27"/>
      <c r="BQ143" s="27"/>
    </row>
    <row r="144" spans="1:69" x14ac:dyDescent="0.25">
      <c r="O144" s="126">
        <f t="shared" si="84"/>
        <v>0</v>
      </c>
      <c r="P144" s="126">
        <f t="shared" si="85"/>
        <v>0</v>
      </c>
      <c r="Q144" s="126">
        <f t="shared" si="86"/>
        <v>0</v>
      </c>
      <c r="R144" s="126">
        <f t="shared" si="87"/>
        <v>0</v>
      </c>
      <c r="S144" s="126">
        <f t="shared" si="88"/>
        <v>0</v>
      </c>
      <c r="T144" s="126">
        <f t="shared" si="89"/>
        <v>0</v>
      </c>
      <c r="U144" s="94">
        <f t="shared" si="90"/>
        <v>0</v>
      </c>
      <c r="V144" s="94">
        <f t="shared" si="91"/>
        <v>0</v>
      </c>
      <c r="W144" s="94">
        <f t="shared" si="92"/>
        <v>0</v>
      </c>
      <c r="X144" s="94">
        <f t="shared" si="93"/>
        <v>0</v>
      </c>
      <c r="Y144" s="95">
        <f t="shared" si="94"/>
        <v>0</v>
      </c>
      <c r="Z144" s="126">
        <f t="shared" si="95"/>
        <v>0</v>
      </c>
      <c r="AA144" s="126">
        <f t="shared" si="96"/>
        <v>0</v>
      </c>
      <c r="AB144" s="126">
        <f t="shared" si="97"/>
        <v>0</v>
      </c>
      <c r="AC144" s="126">
        <f t="shared" si="98"/>
        <v>0</v>
      </c>
      <c r="AK144" s="94">
        <f t="shared" si="99"/>
        <v>0</v>
      </c>
      <c r="AL144" s="94">
        <f t="shared" si="100"/>
        <v>0</v>
      </c>
      <c r="AM144" s="94">
        <f t="shared" si="101"/>
        <v>0</v>
      </c>
      <c r="AN144" s="94">
        <f t="shared" si="102"/>
        <v>0</v>
      </c>
      <c r="AO144" s="95">
        <f t="shared" si="103"/>
        <v>0</v>
      </c>
      <c r="AP144" s="126">
        <f t="shared" si="104"/>
        <v>0</v>
      </c>
      <c r="AQ144" s="126">
        <f t="shared" si="105"/>
        <v>0</v>
      </c>
      <c r="AR144" s="126">
        <f t="shared" si="106"/>
        <v>0</v>
      </c>
      <c r="AS144" s="126">
        <f t="shared" si="107"/>
        <v>0</v>
      </c>
      <c r="AT144" s="126">
        <v>0</v>
      </c>
      <c r="AU144" s="126"/>
      <c r="AV144" s="126"/>
      <c r="AW144" s="126"/>
      <c r="AX144" s="126"/>
      <c r="AY144" s="126">
        <f t="shared" si="108"/>
        <v>0</v>
      </c>
      <c r="AZ144" s="127"/>
      <c r="BA144" s="127"/>
      <c r="BB144" s="2"/>
      <c r="BC144" s="27">
        <f t="shared" si="109"/>
        <v>0</v>
      </c>
      <c r="BD144" s="27">
        <f t="shared" si="110"/>
        <v>0</v>
      </c>
      <c r="BE144" s="27"/>
      <c r="BF144" s="27">
        <f t="shared" si="111"/>
        <v>0</v>
      </c>
      <c r="BG144" s="27"/>
      <c r="BH144" s="27">
        <f t="shared" si="112"/>
        <v>0</v>
      </c>
      <c r="BI144" s="27">
        <f t="shared" si="113"/>
        <v>0</v>
      </c>
      <c r="BJ144" s="27">
        <f t="shared" si="114"/>
        <v>0</v>
      </c>
      <c r="BK144" s="27"/>
      <c r="BL144" s="27"/>
      <c r="BM144" s="27">
        <f t="shared" si="115"/>
        <v>0</v>
      </c>
      <c r="BN144" s="27">
        <f t="shared" si="116"/>
        <v>0</v>
      </c>
      <c r="BO144" s="27">
        <f t="shared" si="117"/>
        <v>0</v>
      </c>
      <c r="BP144" s="27"/>
      <c r="BQ144" s="27"/>
    </row>
    <row r="145" spans="15:69" x14ac:dyDescent="0.25">
      <c r="O145" s="126">
        <f t="shared" si="84"/>
        <v>0</v>
      </c>
      <c r="P145" s="126">
        <f t="shared" si="85"/>
        <v>0</v>
      </c>
      <c r="Q145" s="126">
        <f t="shared" si="86"/>
        <v>0</v>
      </c>
      <c r="R145" s="126">
        <f t="shared" si="87"/>
        <v>0</v>
      </c>
      <c r="S145" s="126">
        <f t="shared" si="88"/>
        <v>0</v>
      </c>
      <c r="T145" s="126">
        <f t="shared" si="89"/>
        <v>0</v>
      </c>
      <c r="U145" s="94">
        <f t="shared" si="90"/>
        <v>0</v>
      </c>
      <c r="V145" s="94">
        <f t="shared" si="91"/>
        <v>0</v>
      </c>
      <c r="W145" s="94">
        <f t="shared" si="92"/>
        <v>0</v>
      </c>
      <c r="X145" s="94">
        <f t="shared" si="93"/>
        <v>0</v>
      </c>
      <c r="Y145" s="95">
        <f t="shared" si="94"/>
        <v>0</v>
      </c>
      <c r="Z145" s="126">
        <f t="shared" si="95"/>
        <v>0</v>
      </c>
      <c r="AA145" s="126">
        <f t="shared" si="96"/>
        <v>0</v>
      </c>
      <c r="AB145" s="126">
        <f t="shared" si="97"/>
        <v>0</v>
      </c>
      <c r="AC145" s="126">
        <f t="shared" si="98"/>
        <v>0</v>
      </c>
      <c r="AK145" s="94">
        <f t="shared" si="99"/>
        <v>0</v>
      </c>
      <c r="AL145" s="94">
        <f t="shared" si="100"/>
        <v>0</v>
      </c>
      <c r="AM145" s="94">
        <f t="shared" si="101"/>
        <v>0</v>
      </c>
      <c r="AN145" s="94">
        <f t="shared" si="102"/>
        <v>0</v>
      </c>
      <c r="AO145" s="95">
        <f t="shared" si="103"/>
        <v>0</v>
      </c>
      <c r="AP145" s="126">
        <f t="shared" si="104"/>
        <v>0</v>
      </c>
      <c r="AQ145" s="126">
        <f t="shared" si="105"/>
        <v>0</v>
      </c>
      <c r="AR145" s="126">
        <f t="shared" si="106"/>
        <v>0</v>
      </c>
      <c r="AS145" s="126">
        <f t="shared" si="107"/>
        <v>0</v>
      </c>
      <c r="AT145" s="126">
        <v>0</v>
      </c>
      <c r="AU145" s="126"/>
      <c r="AV145" s="126"/>
      <c r="AW145" s="126"/>
      <c r="AX145" s="126"/>
      <c r="AY145" s="126">
        <f t="shared" si="108"/>
        <v>0</v>
      </c>
      <c r="AZ145" s="127"/>
      <c r="BA145" s="127"/>
      <c r="BB145" s="2"/>
      <c r="BC145" s="27">
        <f t="shared" si="109"/>
        <v>0</v>
      </c>
      <c r="BD145" s="27">
        <f t="shared" si="110"/>
        <v>0</v>
      </c>
      <c r="BE145" s="27"/>
      <c r="BF145" s="27">
        <f t="shared" si="111"/>
        <v>0</v>
      </c>
      <c r="BG145" s="27"/>
      <c r="BH145" s="27">
        <f t="shared" si="112"/>
        <v>0</v>
      </c>
      <c r="BI145" s="27">
        <f t="shared" si="113"/>
        <v>0</v>
      </c>
      <c r="BJ145" s="27">
        <f t="shared" si="114"/>
        <v>0</v>
      </c>
      <c r="BK145" s="27"/>
      <c r="BL145" s="27"/>
      <c r="BM145" s="27">
        <f t="shared" si="115"/>
        <v>0</v>
      </c>
      <c r="BN145" s="27">
        <f t="shared" si="116"/>
        <v>0</v>
      </c>
      <c r="BO145" s="27">
        <f t="shared" si="117"/>
        <v>0</v>
      </c>
      <c r="BP145" s="27"/>
      <c r="BQ145" s="27"/>
    </row>
    <row r="146" spans="15:69" x14ac:dyDescent="0.25">
      <c r="O146" s="126">
        <f t="shared" si="84"/>
        <v>0</v>
      </c>
      <c r="P146" s="126">
        <f t="shared" si="85"/>
        <v>0</v>
      </c>
      <c r="Q146" s="126">
        <f t="shared" si="86"/>
        <v>0</v>
      </c>
      <c r="R146" s="126">
        <f t="shared" si="87"/>
        <v>0</v>
      </c>
      <c r="S146" s="126">
        <f t="shared" si="88"/>
        <v>0</v>
      </c>
      <c r="T146" s="126">
        <f t="shared" si="89"/>
        <v>0</v>
      </c>
      <c r="U146" s="94">
        <f t="shared" si="90"/>
        <v>0</v>
      </c>
      <c r="V146" s="94">
        <f t="shared" si="91"/>
        <v>0</v>
      </c>
      <c r="W146" s="94">
        <f t="shared" si="92"/>
        <v>0</v>
      </c>
      <c r="X146" s="94">
        <f t="shared" si="93"/>
        <v>0</v>
      </c>
      <c r="Y146" s="95">
        <f t="shared" si="94"/>
        <v>0</v>
      </c>
      <c r="Z146" s="126">
        <f t="shared" si="95"/>
        <v>0</v>
      </c>
      <c r="AA146" s="126">
        <f t="shared" si="96"/>
        <v>0</v>
      </c>
      <c r="AB146" s="126">
        <f t="shared" si="97"/>
        <v>0</v>
      </c>
      <c r="AC146" s="126">
        <f t="shared" si="98"/>
        <v>0</v>
      </c>
      <c r="AK146" s="94">
        <f t="shared" si="99"/>
        <v>0</v>
      </c>
      <c r="AL146" s="94">
        <f t="shared" si="100"/>
        <v>0</v>
      </c>
      <c r="AM146" s="94">
        <f t="shared" si="101"/>
        <v>0</v>
      </c>
      <c r="AN146" s="94">
        <f t="shared" si="102"/>
        <v>0</v>
      </c>
      <c r="AO146" s="95">
        <f t="shared" si="103"/>
        <v>0</v>
      </c>
      <c r="AP146" s="126">
        <f t="shared" si="104"/>
        <v>0</v>
      </c>
      <c r="AQ146" s="126">
        <f t="shared" si="105"/>
        <v>0</v>
      </c>
      <c r="AR146" s="126">
        <f t="shared" si="106"/>
        <v>0</v>
      </c>
      <c r="AS146" s="126">
        <f t="shared" si="107"/>
        <v>0</v>
      </c>
      <c r="AT146" s="126">
        <v>0</v>
      </c>
      <c r="AU146" s="126"/>
      <c r="AV146" s="126"/>
      <c r="AW146" s="126"/>
      <c r="AX146" s="126"/>
      <c r="AY146" s="126">
        <f t="shared" si="108"/>
        <v>0</v>
      </c>
      <c r="AZ146" s="127"/>
      <c r="BA146" s="127"/>
      <c r="BB146" s="2"/>
      <c r="BC146" s="27">
        <f t="shared" si="109"/>
        <v>0</v>
      </c>
      <c r="BD146" s="27">
        <f t="shared" si="110"/>
        <v>0</v>
      </c>
      <c r="BE146" s="27"/>
      <c r="BF146" s="27">
        <f t="shared" si="111"/>
        <v>0</v>
      </c>
      <c r="BG146" s="27"/>
      <c r="BH146" s="27">
        <f t="shared" si="112"/>
        <v>0</v>
      </c>
      <c r="BI146" s="27">
        <f t="shared" si="113"/>
        <v>0</v>
      </c>
      <c r="BJ146" s="27">
        <f t="shared" si="114"/>
        <v>0</v>
      </c>
      <c r="BK146" s="27"/>
      <c r="BL146" s="27"/>
      <c r="BM146" s="27">
        <f t="shared" si="115"/>
        <v>0</v>
      </c>
      <c r="BN146" s="27">
        <f t="shared" si="116"/>
        <v>0</v>
      </c>
      <c r="BO146" s="27">
        <f t="shared" si="117"/>
        <v>0</v>
      </c>
      <c r="BP146" s="27"/>
      <c r="BQ146" s="27"/>
    </row>
    <row r="147" spans="15:69" x14ac:dyDescent="0.25">
      <c r="O147" s="126">
        <f t="shared" si="84"/>
        <v>0</v>
      </c>
      <c r="P147" s="126">
        <f t="shared" si="85"/>
        <v>0</v>
      </c>
      <c r="Q147" s="126">
        <f t="shared" si="86"/>
        <v>0</v>
      </c>
      <c r="R147" s="126">
        <f t="shared" si="87"/>
        <v>0</v>
      </c>
      <c r="S147" s="126">
        <f t="shared" si="88"/>
        <v>0</v>
      </c>
      <c r="T147" s="126">
        <f t="shared" si="89"/>
        <v>0</v>
      </c>
      <c r="U147" s="94">
        <f t="shared" si="90"/>
        <v>0</v>
      </c>
      <c r="V147" s="94">
        <f t="shared" si="91"/>
        <v>0</v>
      </c>
      <c r="W147" s="94">
        <f t="shared" si="92"/>
        <v>0</v>
      </c>
      <c r="X147" s="94">
        <f t="shared" si="93"/>
        <v>0</v>
      </c>
      <c r="Y147" s="95">
        <f t="shared" si="94"/>
        <v>0</v>
      </c>
      <c r="Z147" s="126">
        <f t="shared" si="95"/>
        <v>0</v>
      </c>
      <c r="AA147" s="126">
        <f t="shared" si="96"/>
        <v>0</v>
      </c>
      <c r="AB147" s="126">
        <f t="shared" si="97"/>
        <v>0</v>
      </c>
      <c r="AC147" s="126">
        <f t="shared" si="98"/>
        <v>0</v>
      </c>
      <c r="AK147" s="94">
        <f t="shared" si="99"/>
        <v>0</v>
      </c>
      <c r="AL147" s="94">
        <f t="shared" si="100"/>
        <v>0</v>
      </c>
      <c r="AM147" s="94">
        <f t="shared" si="101"/>
        <v>0</v>
      </c>
      <c r="AN147" s="94">
        <f t="shared" si="102"/>
        <v>0</v>
      </c>
      <c r="AO147" s="95">
        <f t="shared" si="103"/>
        <v>0</v>
      </c>
      <c r="AP147" s="126">
        <f t="shared" si="104"/>
        <v>0</v>
      </c>
      <c r="AQ147" s="126">
        <f t="shared" si="105"/>
        <v>0</v>
      </c>
      <c r="AR147" s="126">
        <f t="shared" si="106"/>
        <v>0</v>
      </c>
      <c r="AS147" s="126">
        <f t="shared" si="107"/>
        <v>0</v>
      </c>
      <c r="AT147" s="126">
        <v>0</v>
      </c>
      <c r="AU147" s="126"/>
      <c r="AV147" s="126"/>
      <c r="AW147" s="126"/>
      <c r="AX147" s="126"/>
      <c r="AY147" s="126">
        <f t="shared" si="108"/>
        <v>0</v>
      </c>
      <c r="AZ147" s="127"/>
      <c r="BA147" s="127"/>
      <c r="BB147" s="2"/>
      <c r="BC147" s="27">
        <f t="shared" si="109"/>
        <v>0</v>
      </c>
      <c r="BD147" s="27">
        <f t="shared" si="110"/>
        <v>0</v>
      </c>
      <c r="BE147" s="27"/>
      <c r="BF147" s="27">
        <f t="shared" si="111"/>
        <v>0</v>
      </c>
      <c r="BG147" s="27"/>
      <c r="BH147" s="27">
        <f t="shared" si="112"/>
        <v>0</v>
      </c>
      <c r="BI147" s="27">
        <f t="shared" si="113"/>
        <v>0</v>
      </c>
      <c r="BJ147" s="27">
        <f t="shared" si="114"/>
        <v>0</v>
      </c>
      <c r="BK147" s="27"/>
      <c r="BL147" s="27"/>
      <c r="BM147" s="27">
        <f t="shared" si="115"/>
        <v>0</v>
      </c>
      <c r="BN147" s="27">
        <f t="shared" si="116"/>
        <v>0</v>
      </c>
      <c r="BO147" s="27">
        <f t="shared" si="117"/>
        <v>0</v>
      </c>
      <c r="BP147" s="27"/>
      <c r="BQ147" s="27"/>
    </row>
    <row r="148" spans="15:69" x14ac:dyDescent="0.25">
      <c r="O148" s="126">
        <f t="shared" si="84"/>
        <v>0</v>
      </c>
      <c r="P148" s="126">
        <f t="shared" si="85"/>
        <v>0</v>
      </c>
      <c r="Q148" s="126">
        <f t="shared" si="86"/>
        <v>0</v>
      </c>
      <c r="R148" s="126">
        <f t="shared" si="87"/>
        <v>0</v>
      </c>
      <c r="S148" s="126">
        <f t="shared" si="88"/>
        <v>0</v>
      </c>
      <c r="T148" s="126">
        <f t="shared" si="89"/>
        <v>0</v>
      </c>
      <c r="U148" s="94">
        <f t="shared" si="90"/>
        <v>0</v>
      </c>
      <c r="V148" s="94">
        <f t="shared" si="91"/>
        <v>0</v>
      </c>
      <c r="W148" s="94">
        <f t="shared" si="92"/>
        <v>0</v>
      </c>
      <c r="X148" s="94">
        <f t="shared" si="93"/>
        <v>0</v>
      </c>
      <c r="Y148" s="95">
        <f t="shared" si="94"/>
        <v>0</v>
      </c>
      <c r="Z148" s="126">
        <f t="shared" si="95"/>
        <v>0</v>
      </c>
      <c r="AA148" s="126">
        <f t="shared" si="96"/>
        <v>0</v>
      </c>
      <c r="AB148" s="126">
        <f t="shared" si="97"/>
        <v>0</v>
      </c>
      <c r="AC148" s="126">
        <f t="shared" si="98"/>
        <v>0</v>
      </c>
      <c r="AK148" s="94">
        <f t="shared" si="99"/>
        <v>0</v>
      </c>
      <c r="AL148" s="94">
        <f t="shared" si="100"/>
        <v>0</v>
      </c>
      <c r="AM148" s="94">
        <f t="shared" si="101"/>
        <v>0</v>
      </c>
      <c r="AN148" s="94">
        <f t="shared" si="102"/>
        <v>0</v>
      </c>
      <c r="AO148" s="95">
        <f t="shared" si="103"/>
        <v>0</v>
      </c>
      <c r="AP148" s="126">
        <f t="shared" si="104"/>
        <v>0</v>
      </c>
      <c r="AQ148" s="126">
        <f t="shared" si="105"/>
        <v>0</v>
      </c>
      <c r="AR148" s="126">
        <f t="shared" si="106"/>
        <v>0</v>
      </c>
      <c r="AS148" s="126">
        <f t="shared" si="107"/>
        <v>0</v>
      </c>
      <c r="AT148" s="126">
        <v>0</v>
      </c>
      <c r="AU148" s="126"/>
      <c r="AV148" s="126"/>
      <c r="AW148" s="126"/>
      <c r="AX148" s="126"/>
      <c r="AY148" s="126">
        <f t="shared" si="108"/>
        <v>0</v>
      </c>
      <c r="AZ148" s="127"/>
      <c r="BA148" s="127"/>
      <c r="BB148" s="2"/>
      <c r="BC148" s="27">
        <f t="shared" si="109"/>
        <v>0</v>
      </c>
      <c r="BD148" s="27">
        <f t="shared" si="110"/>
        <v>0</v>
      </c>
      <c r="BE148" s="27"/>
      <c r="BF148" s="27">
        <f t="shared" si="111"/>
        <v>0</v>
      </c>
      <c r="BG148" s="27"/>
      <c r="BH148" s="27">
        <f t="shared" si="112"/>
        <v>0</v>
      </c>
      <c r="BI148" s="27">
        <f t="shared" si="113"/>
        <v>0</v>
      </c>
      <c r="BJ148" s="27">
        <f t="shared" si="114"/>
        <v>0</v>
      </c>
      <c r="BK148" s="27"/>
      <c r="BL148" s="27"/>
      <c r="BM148" s="27">
        <f t="shared" si="115"/>
        <v>0</v>
      </c>
      <c r="BN148" s="27">
        <f t="shared" si="116"/>
        <v>0</v>
      </c>
      <c r="BO148" s="27">
        <f t="shared" si="117"/>
        <v>0</v>
      </c>
      <c r="BP148" s="27"/>
      <c r="BQ148" s="27"/>
    </row>
    <row r="149" spans="15:69" x14ac:dyDescent="0.25">
      <c r="O149" s="126">
        <f t="shared" si="84"/>
        <v>0</v>
      </c>
      <c r="P149" s="126">
        <f t="shared" si="85"/>
        <v>0</v>
      </c>
      <c r="Q149" s="126">
        <f t="shared" si="86"/>
        <v>0</v>
      </c>
      <c r="R149" s="126">
        <f t="shared" si="87"/>
        <v>0</v>
      </c>
      <c r="S149" s="126">
        <f t="shared" si="88"/>
        <v>0</v>
      </c>
      <c r="T149" s="126">
        <f t="shared" si="89"/>
        <v>0</v>
      </c>
      <c r="U149" s="94">
        <f t="shared" si="90"/>
        <v>0</v>
      </c>
      <c r="V149" s="94">
        <f t="shared" si="91"/>
        <v>0</v>
      </c>
      <c r="W149" s="94">
        <f t="shared" si="92"/>
        <v>0</v>
      </c>
      <c r="X149" s="94">
        <f t="shared" si="93"/>
        <v>0</v>
      </c>
      <c r="Y149" s="95">
        <f t="shared" si="94"/>
        <v>0</v>
      </c>
      <c r="Z149" s="126">
        <f t="shared" si="95"/>
        <v>0</v>
      </c>
      <c r="AA149" s="126">
        <f t="shared" si="96"/>
        <v>0</v>
      </c>
      <c r="AB149" s="126">
        <f t="shared" si="97"/>
        <v>0</v>
      </c>
      <c r="AC149" s="126">
        <f t="shared" si="98"/>
        <v>0</v>
      </c>
      <c r="AK149" s="94">
        <f t="shared" si="99"/>
        <v>0</v>
      </c>
      <c r="AL149" s="94">
        <f t="shared" si="100"/>
        <v>0</v>
      </c>
      <c r="AM149" s="94">
        <f t="shared" si="101"/>
        <v>0</v>
      </c>
      <c r="AN149" s="94">
        <f t="shared" si="102"/>
        <v>0</v>
      </c>
      <c r="AO149" s="95">
        <f t="shared" si="103"/>
        <v>0</v>
      </c>
      <c r="AP149" s="126">
        <f t="shared" si="104"/>
        <v>0</v>
      </c>
      <c r="AQ149" s="126">
        <f t="shared" si="105"/>
        <v>0</v>
      </c>
      <c r="AR149" s="126">
        <f t="shared" si="106"/>
        <v>0</v>
      </c>
      <c r="AS149" s="126">
        <f t="shared" si="107"/>
        <v>0</v>
      </c>
      <c r="AT149" s="126">
        <v>0</v>
      </c>
      <c r="AU149" s="126"/>
      <c r="AV149" s="126"/>
      <c r="AW149" s="126"/>
      <c r="AX149" s="126"/>
      <c r="AY149" s="126">
        <f t="shared" si="108"/>
        <v>0</v>
      </c>
      <c r="AZ149" s="127"/>
      <c r="BA149" s="127"/>
      <c r="BB149" s="2"/>
      <c r="BC149" s="27">
        <f t="shared" si="109"/>
        <v>0</v>
      </c>
      <c r="BD149" s="27">
        <f t="shared" si="110"/>
        <v>0</v>
      </c>
      <c r="BE149" s="27"/>
      <c r="BF149" s="27">
        <f t="shared" si="111"/>
        <v>0</v>
      </c>
      <c r="BG149" s="27"/>
      <c r="BH149" s="27">
        <f t="shared" si="112"/>
        <v>0</v>
      </c>
      <c r="BI149" s="27">
        <f t="shared" si="113"/>
        <v>0</v>
      </c>
      <c r="BJ149" s="27">
        <f t="shared" si="114"/>
        <v>0</v>
      </c>
      <c r="BK149" s="27"/>
      <c r="BL149" s="27"/>
      <c r="BM149" s="27">
        <f t="shared" si="115"/>
        <v>0</v>
      </c>
      <c r="BN149" s="27">
        <f t="shared" si="116"/>
        <v>0</v>
      </c>
      <c r="BO149" s="27">
        <f t="shared" si="117"/>
        <v>0</v>
      </c>
      <c r="BP149" s="27"/>
      <c r="BQ149" s="27"/>
    </row>
    <row r="150" spans="15:69" x14ac:dyDescent="0.25">
      <c r="O150" s="126">
        <f t="shared" si="84"/>
        <v>0</v>
      </c>
      <c r="P150" s="126">
        <f t="shared" si="85"/>
        <v>0</v>
      </c>
      <c r="Q150" s="126">
        <f t="shared" si="86"/>
        <v>0</v>
      </c>
      <c r="R150" s="126">
        <f t="shared" si="87"/>
        <v>0</v>
      </c>
      <c r="S150" s="126">
        <f t="shared" si="88"/>
        <v>0</v>
      </c>
      <c r="T150" s="126">
        <f t="shared" si="89"/>
        <v>0</v>
      </c>
      <c r="U150" s="94">
        <f t="shared" si="90"/>
        <v>0</v>
      </c>
      <c r="V150" s="94">
        <f t="shared" si="91"/>
        <v>0</v>
      </c>
      <c r="W150" s="94">
        <f t="shared" si="92"/>
        <v>0</v>
      </c>
      <c r="X150" s="94">
        <f t="shared" si="93"/>
        <v>0</v>
      </c>
      <c r="Y150" s="95">
        <f t="shared" si="94"/>
        <v>0</v>
      </c>
      <c r="Z150" s="126">
        <f t="shared" si="95"/>
        <v>0</v>
      </c>
      <c r="AA150" s="126">
        <f t="shared" si="96"/>
        <v>0</v>
      </c>
      <c r="AB150" s="126">
        <f t="shared" si="97"/>
        <v>0</v>
      </c>
      <c r="AC150" s="126">
        <f t="shared" si="98"/>
        <v>0</v>
      </c>
      <c r="AK150" s="94">
        <f t="shared" si="99"/>
        <v>0</v>
      </c>
      <c r="AL150" s="94">
        <f t="shared" si="100"/>
        <v>0</v>
      </c>
      <c r="AM150" s="94">
        <f t="shared" si="101"/>
        <v>0</v>
      </c>
      <c r="AN150" s="94">
        <f t="shared" si="102"/>
        <v>0</v>
      </c>
      <c r="AO150" s="95">
        <f t="shared" si="103"/>
        <v>0</v>
      </c>
      <c r="AP150" s="126">
        <f t="shared" si="104"/>
        <v>0</v>
      </c>
      <c r="AQ150" s="126">
        <f t="shared" si="105"/>
        <v>0</v>
      </c>
      <c r="AR150" s="126">
        <f t="shared" si="106"/>
        <v>0</v>
      </c>
      <c r="AS150" s="126">
        <f t="shared" si="107"/>
        <v>0</v>
      </c>
      <c r="AT150" s="126">
        <v>0</v>
      </c>
      <c r="AU150" s="126"/>
      <c r="AV150" s="126"/>
      <c r="AW150" s="126"/>
      <c r="AX150" s="126"/>
      <c r="AY150" s="126">
        <f t="shared" si="108"/>
        <v>0</v>
      </c>
      <c r="AZ150" s="127"/>
      <c r="BA150" s="127"/>
      <c r="BB150" s="2"/>
      <c r="BC150" s="27">
        <f t="shared" si="109"/>
        <v>0</v>
      </c>
      <c r="BD150" s="27">
        <f t="shared" si="110"/>
        <v>0</v>
      </c>
      <c r="BE150" s="27"/>
      <c r="BF150" s="27">
        <f t="shared" si="111"/>
        <v>0</v>
      </c>
      <c r="BG150" s="27"/>
      <c r="BH150" s="27">
        <f t="shared" si="112"/>
        <v>0</v>
      </c>
      <c r="BI150" s="27">
        <f t="shared" si="113"/>
        <v>0</v>
      </c>
      <c r="BJ150" s="27">
        <f t="shared" si="114"/>
        <v>0</v>
      </c>
      <c r="BK150" s="27"/>
      <c r="BL150" s="27"/>
      <c r="BM150" s="27">
        <f t="shared" si="115"/>
        <v>0</v>
      </c>
      <c r="BN150" s="27">
        <f t="shared" si="116"/>
        <v>0</v>
      </c>
      <c r="BO150" s="27">
        <f t="shared" si="117"/>
        <v>0</v>
      </c>
      <c r="BP150" s="27"/>
      <c r="BQ150" s="27"/>
    </row>
    <row r="151" spans="15:69" x14ac:dyDescent="0.25">
      <c r="O151" s="126">
        <f t="shared" si="84"/>
        <v>0</v>
      </c>
      <c r="P151" s="126">
        <f t="shared" si="85"/>
        <v>0</v>
      </c>
      <c r="Q151" s="126">
        <f t="shared" si="86"/>
        <v>0</v>
      </c>
      <c r="R151" s="126">
        <f t="shared" si="87"/>
        <v>0</v>
      </c>
      <c r="S151" s="126">
        <f t="shared" si="88"/>
        <v>0</v>
      </c>
      <c r="T151" s="126">
        <f t="shared" si="89"/>
        <v>0</v>
      </c>
      <c r="U151" s="94">
        <f t="shared" si="90"/>
        <v>0</v>
      </c>
      <c r="V151" s="94">
        <f t="shared" si="91"/>
        <v>0</v>
      </c>
      <c r="W151" s="94">
        <f t="shared" si="92"/>
        <v>0</v>
      </c>
      <c r="X151" s="94">
        <f t="shared" si="93"/>
        <v>0</v>
      </c>
      <c r="Y151" s="95">
        <f t="shared" si="94"/>
        <v>0</v>
      </c>
      <c r="Z151" s="126">
        <f t="shared" si="95"/>
        <v>0</v>
      </c>
      <c r="AA151" s="126">
        <f t="shared" si="96"/>
        <v>0</v>
      </c>
      <c r="AB151" s="126">
        <f t="shared" si="97"/>
        <v>0</v>
      </c>
      <c r="AC151" s="126">
        <f t="shared" si="98"/>
        <v>0</v>
      </c>
      <c r="AK151" s="94">
        <f t="shared" si="99"/>
        <v>0</v>
      </c>
      <c r="AL151" s="94">
        <f t="shared" si="100"/>
        <v>0</v>
      </c>
      <c r="AM151" s="94">
        <f t="shared" si="101"/>
        <v>0</v>
      </c>
      <c r="AN151" s="94">
        <f t="shared" si="102"/>
        <v>0</v>
      </c>
      <c r="AO151" s="95">
        <f t="shared" si="103"/>
        <v>0</v>
      </c>
      <c r="AP151" s="126">
        <f t="shared" si="104"/>
        <v>0</v>
      </c>
      <c r="AQ151" s="126">
        <f t="shared" si="105"/>
        <v>0</v>
      </c>
      <c r="AR151" s="126">
        <f t="shared" si="106"/>
        <v>0</v>
      </c>
      <c r="AS151" s="126">
        <f t="shared" si="107"/>
        <v>0</v>
      </c>
      <c r="AT151" s="126">
        <v>0</v>
      </c>
      <c r="AU151" s="126"/>
      <c r="AV151" s="126"/>
      <c r="AW151" s="126"/>
      <c r="AX151" s="126"/>
      <c r="AY151" s="126">
        <f t="shared" si="108"/>
        <v>0</v>
      </c>
      <c r="AZ151" s="127"/>
      <c r="BA151" s="127"/>
      <c r="BB151" s="2"/>
      <c r="BC151" s="27">
        <f t="shared" si="109"/>
        <v>0</v>
      </c>
      <c r="BD151" s="27">
        <f t="shared" si="110"/>
        <v>0</v>
      </c>
      <c r="BE151" s="27"/>
      <c r="BF151" s="27">
        <f t="shared" si="111"/>
        <v>0</v>
      </c>
      <c r="BG151" s="27"/>
      <c r="BH151" s="27">
        <f t="shared" si="112"/>
        <v>0</v>
      </c>
      <c r="BI151" s="27">
        <f t="shared" si="113"/>
        <v>0</v>
      </c>
      <c r="BJ151" s="27">
        <f t="shared" si="114"/>
        <v>0</v>
      </c>
      <c r="BK151" s="27"/>
      <c r="BL151" s="27"/>
      <c r="BM151" s="27">
        <f t="shared" si="115"/>
        <v>0</v>
      </c>
      <c r="BN151" s="27">
        <f t="shared" si="116"/>
        <v>0</v>
      </c>
      <c r="BO151" s="27">
        <f t="shared" si="117"/>
        <v>0</v>
      </c>
      <c r="BP151" s="27"/>
      <c r="BQ151" s="27"/>
    </row>
    <row r="152" spans="15:69" x14ac:dyDescent="0.25">
      <c r="O152" s="126">
        <f t="shared" si="84"/>
        <v>0</v>
      </c>
      <c r="P152" s="126">
        <f t="shared" si="85"/>
        <v>0</v>
      </c>
      <c r="Q152" s="126">
        <f t="shared" si="86"/>
        <v>0</v>
      </c>
      <c r="R152" s="126">
        <f t="shared" si="87"/>
        <v>0</v>
      </c>
      <c r="S152" s="126">
        <f t="shared" si="88"/>
        <v>0</v>
      </c>
      <c r="T152" s="126">
        <f t="shared" si="89"/>
        <v>0</v>
      </c>
      <c r="U152" s="94">
        <f t="shared" si="90"/>
        <v>0</v>
      </c>
      <c r="V152" s="94">
        <f t="shared" si="91"/>
        <v>0</v>
      </c>
      <c r="W152" s="94">
        <f t="shared" si="92"/>
        <v>0</v>
      </c>
      <c r="X152" s="94">
        <f t="shared" si="93"/>
        <v>0</v>
      </c>
      <c r="Y152" s="95">
        <f t="shared" si="94"/>
        <v>0</v>
      </c>
      <c r="Z152" s="126">
        <f t="shared" si="95"/>
        <v>0</v>
      </c>
      <c r="AA152" s="126">
        <f t="shared" si="96"/>
        <v>0</v>
      </c>
      <c r="AB152" s="126">
        <f t="shared" si="97"/>
        <v>0</v>
      </c>
      <c r="AC152" s="126">
        <f t="shared" si="98"/>
        <v>0</v>
      </c>
      <c r="AK152" s="94">
        <f t="shared" si="99"/>
        <v>0</v>
      </c>
      <c r="AL152" s="94">
        <f t="shared" si="100"/>
        <v>0</v>
      </c>
      <c r="AM152" s="94">
        <f t="shared" si="101"/>
        <v>0</v>
      </c>
      <c r="AN152" s="94">
        <f t="shared" si="102"/>
        <v>0</v>
      </c>
      <c r="AO152" s="95">
        <f t="shared" si="103"/>
        <v>0</v>
      </c>
      <c r="AP152" s="126">
        <f t="shared" si="104"/>
        <v>0</v>
      </c>
      <c r="AQ152" s="126">
        <f t="shared" si="105"/>
        <v>0</v>
      </c>
      <c r="AR152" s="126">
        <f t="shared" si="106"/>
        <v>0</v>
      </c>
      <c r="AS152" s="126">
        <f t="shared" si="107"/>
        <v>0</v>
      </c>
      <c r="AT152" s="126">
        <v>0</v>
      </c>
      <c r="AU152" s="126"/>
      <c r="AV152" s="126"/>
      <c r="AW152" s="126"/>
      <c r="AX152" s="126"/>
      <c r="AY152" s="126">
        <f t="shared" si="108"/>
        <v>0</v>
      </c>
      <c r="AZ152" s="127"/>
      <c r="BA152" s="127"/>
      <c r="BB152" s="2"/>
      <c r="BC152" s="27">
        <f t="shared" si="109"/>
        <v>0</v>
      </c>
      <c r="BD152" s="27">
        <f t="shared" si="110"/>
        <v>0</v>
      </c>
      <c r="BE152" s="27"/>
      <c r="BF152" s="27">
        <f t="shared" si="111"/>
        <v>0</v>
      </c>
      <c r="BG152" s="27"/>
      <c r="BH152" s="27">
        <f t="shared" si="112"/>
        <v>0</v>
      </c>
      <c r="BI152" s="27">
        <f t="shared" si="113"/>
        <v>0</v>
      </c>
      <c r="BJ152" s="27">
        <f t="shared" si="114"/>
        <v>0</v>
      </c>
      <c r="BK152" s="27"/>
      <c r="BL152" s="27"/>
      <c r="BM152" s="27">
        <f t="shared" si="115"/>
        <v>0</v>
      </c>
      <c r="BN152" s="27">
        <f t="shared" si="116"/>
        <v>0</v>
      </c>
      <c r="BO152" s="27">
        <f t="shared" si="117"/>
        <v>0</v>
      </c>
      <c r="BP152" s="27"/>
      <c r="BQ152" s="27"/>
    </row>
    <row r="153" spans="15:69" x14ac:dyDescent="0.25">
      <c r="O153" s="126">
        <f t="shared" si="84"/>
        <v>0</v>
      </c>
      <c r="P153" s="126">
        <f t="shared" si="85"/>
        <v>0</v>
      </c>
      <c r="Q153" s="126">
        <f t="shared" si="86"/>
        <v>0</v>
      </c>
      <c r="R153" s="126">
        <f t="shared" si="87"/>
        <v>0</v>
      </c>
      <c r="S153" s="126">
        <f t="shared" si="88"/>
        <v>0</v>
      </c>
      <c r="T153" s="126">
        <f t="shared" si="89"/>
        <v>0</v>
      </c>
      <c r="U153" s="94">
        <f t="shared" si="90"/>
        <v>0</v>
      </c>
      <c r="V153" s="94">
        <f t="shared" si="91"/>
        <v>0</v>
      </c>
      <c r="W153" s="94">
        <f t="shared" si="92"/>
        <v>0</v>
      </c>
      <c r="X153" s="94">
        <f t="shared" si="93"/>
        <v>0</v>
      </c>
      <c r="Y153" s="95">
        <f t="shared" si="94"/>
        <v>0</v>
      </c>
      <c r="Z153" s="126">
        <f t="shared" si="95"/>
        <v>0</v>
      </c>
      <c r="AA153" s="126">
        <f t="shared" si="96"/>
        <v>0</v>
      </c>
      <c r="AB153" s="126">
        <f t="shared" si="97"/>
        <v>0</v>
      </c>
      <c r="AC153" s="126">
        <f t="shared" si="98"/>
        <v>0</v>
      </c>
      <c r="AK153" s="94">
        <f t="shared" si="99"/>
        <v>0</v>
      </c>
      <c r="AL153" s="94">
        <f t="shared" si="100"/>
        <v>0</v>
      </c>
      <c r="AM153" s="94">
        <f t="shared" si="101"/>
        <v>0</v>
      </c>
      <c r="AN153" s="94">
        <f t="shared" si="102"/>
        <v>0</v>
      </c>
      <c r="AO153" s="95">
        <f t="shared" si="103"/>
        <v>0</v>
      </c>
      <c r="AP153" s="126">
        <f t="shared" si="104"/>
        <v>0</v>
      </c>
      <c r="AQ153" s="126">
        <f t="shared" si="105"/>
        <v>0</v>
      </c>
      <c r="AR153" s="126">
        <f t="shared" si="106"/>
        <v>0</v>
      </c>
      <c r="AS153" s="126">
        <f t="shared" si="107"/>
        <v>0</v>
      </c>
      <c r="AT153" s="126">
        <v>0</v>
      </c>
      <c r="AU153" s="126"/>
      <c r="AV153" s="126"/>
      <c r="AW153" s="126"/>
      <c r="AX153" s="126"/>
      <c r="AY153" s="126">
        <f t="shared" si="108"/>
        <v>0</v>
      </c>
      <c r="AZ153" s="127"/>
      <c r="BA153" s="127"/>
      <c r="BB153" s="2"/>
      <c r="BC153" s="27">
        <f t="shared" si="109"/>
        <v>0</v>
      </c>
      <c r="BD153" s="27">
        <f t="shared" si="110"/>
        <v>0</v>
      </c>
      <c r="BE153" s="27"/>
      <c r="BF153" s="27">
        <f t="shared" si="111"/>
        <v>0</v>
      </c>
      <c r="BG153" s="27"/>
      <c r="BH153" s="27">
        <f t="shared" si="112"/>
        <v>0</v>
      </c>
      <c r="BI153" s="27">
        <f t="shared" si="113"/>
        <v>0</v>
      </c>
      <c r="BJ153" s="27">
        <f t="shared" si="114"/>
        <v>0</v>
      </c>
      <c r="BK153" s="27"/>
      <c r="BL153" s="27"/>
      <c r="BM153" s="27">
        <f t="shared" si="115"/>
        <v>0</v>
      </c>
      <c r="BN153" s="27">
        <f t="shared" si="116"/>
        <v>0</v>
      </c>
      <c r="BO153" s="27">
        <f t="shared" si="117"/>
        <v>0</v>
      </c>
      <c r="BP153" s="27"/>
      <c r="BQ153" s="27"/>
    </row>
    <row r="154" spans="15:69" x14ac:dyDescent="0.25">
      <c r="O154" s="126">
        <f t="shared" si="84"/>
        <v>0</v>
      </c>
      <c r="P154" s="126">
        <f t="shared" si="85"/>
        <v>0</v>
      </c>
      <c r="Q154" s="126">
        <f t="shared" si="86"/>
        <v>0</v>
      </c>
      <c r="R154" s="126">
        <f t="shared" si="87"/>
        <v>0</v>
      </c>
      <c r="S154" s="126">
        <f t="shared" si="88"/>
        <v>0</v>
      </c>
      <c r="T154" s="126">
        <f t="shared" si="89"/>
        <v>0</v>
      </c>
      <c r="U154" s="94">
        <f t="shared" si="90"/>
        <v>0</v>
      </c>
      <c r="V154" s="94">
        <f t="shared" si="91"/>
        <v>0</v>
      </c>
      <c r="W154" s="94">
        <f t="shared" si="92"/>
        <v>0</v>
      </c>
      <c r="X154" s="94">
        <f t="shared" si="93"/>
        <v>0</v>
      </c>
      <c r="Y154" s="95">
        <f t="shared" si="94"/>
        <v>0</v>
      </c>
      <c r="Z154" s="126">
        <f t="shared" si="95"/>
        <v>0</v>
      </c>
      <c r="AA154" s="126">
        <f t="shared" si="96"/>
        <v>0</v>
      </c>
      <c r="AB154" s="126">
        <f t="shared" si="97"/>
        <v>0</v>
      </c>
      <c r="AC154" s="126">
        <f t="shared" si="98"/>
        <v>0</v>
      </c>
      <c r="AK154" s="94">
        <f t="shared" si="99"/>
        <v>0</v>
      </c>
      <c r="AL154" s="94">
        <f t="shared" si="100"/>
        <v>0</v>
      </c>
      <c r="AM154" s="94">
        <f t="shared" si="101"/>
        <v>0</v>
      </c>
      <c r="AN154" s="94">
        <f t="shared" si="102"/>
        <v>0</v>
      </c>
      <c r="AO154" s="95">
        <f t="shared" si="103"/>
        <v>0</v>
      </c>
      <c r="AP154" s="126">
        <f t="shared" si="104"/>
        <v>0</v>
      </c>
      <c r="AQ154" s="126">
        <f t="shared" si="105"/>
        <v>0</v>
      </c>
      <c r="AR154" s="126">
        <f t="shared" si="106"/>
        <v>0</v>
      </c>
      <c r="AS154" s="126">
        <f t="shared" si="107"/>
        <v>0</v>
      </c>
      <c r="AT154" s="126">
        <v>0</v>
      </c>
      <c r="AU154" s="126"/>
      <c r="AV154" s="126"/>
      <c r="AW154" s="126"/>
      <c r="AX154" s="126"/>
      <c r="AY154" s="126">
        <f t="shared" si="108"/>
        <v>0</v>
      </c>
      <c r="AZ154" s="127"/>
      <c r="BA154" s="127"/>
      <c r="BB154" s="2"/>
      <c r="BC154" s="27">
        <f t="shared" si="109"/>
        <v>0</v>
      </c>
      <c r="BD154" s="27">
        <f t="shared" si="110"/>
        <v>0</v>
      </c>
      <c r="BE154" s="27"/>
      <c r="BF154" s="27">
        <f t="shared" si="111"/>
        <v>0</v>
      </c>
      <c r="BG154" s="27"/>
      <c r="BH154" s="27">
        <f t="shared" si="112"/>
        <v>0</v>
      </c>
      <c r="BI154" s="27">
        <f t="shared" si="113"/>
        <v>0</v>
      </c>
      <c r="BJ154" s="27">
        <f t="shared" si="114"/>
        <v>0</v>
      </c>
      <c r="BK154" s="27"/>
      <c r="BL154" s="27"/>
      <c r="BM154" s="27">
        <f t="shared" si="115"/>
        <v>0</v>
      </c>
      <c r="BN154" s="27">
        <f t="shared" si="116"/>
        <v>0</v>
      </c>
      <c r="BO154" s="27">
        <f t="shared" si="117"/>
        <v>0</v>
      </c>
      <c r="BP154" s="27"/>
      <c r="BQ154" s="27"/>
    </row>
    <row r="155" spans="15:69" x14ac:dyDescent="0.25">
      <c r="O155" s="126">
        <f t="shared" si="84"/>
        <v>0</v>
      </c>
      <c r="P155" s="126">
        <f t="shared" si="85"/>
        <v>0</v>
      </c>
      <c r="Q155" s="126">
        <f t="shared" si="86"/>
        <v>0</v>
      </c>
      <c r="R155" s="126">
        <f t="shared" si="87"/>
        <v>0</v>
      </c>
      <c r="S155" s="126">
        <f t="shared" si="88"/>
        <v>0</v>
      </c>
      <c r="T155" s="126">
        <f t="shared" si="89"/>
        <v>0</v>
      </c>
      <c r="U155" s="94">
        <f t="shared" si="90"/>
        <v>0</v>
      </c>
      <c r="V155" s="94">
        <f t="shared" si="91"/>
        <v>0</v>
      </c>
      <c r="W155" s="94">
        <f t="shared" si="92"/>
        <v>0</v>
      </c>
      <c r="X155" s="94">
        <f t="shared" si="93"/>
        <v>0</v>
      </c>
      <c r="Y155" s="95">
        <f t="shared" si="94"/>
        <v>0</v>
      </c>
      <c r="Z155" s="126">
        <f t="shared" si="95"/>
        <v>0</v>
      </c>
      <c r="AA155" s="126">
        <f t="shared" si="96"/>
        <v>0</v>
      </c>
      <c r="AB155" s="126">
        <f t="shared" si="97"/>
        <v>0</v>
      </c>
      <c r="AC155" s="126">
        <f t="shared" si="98"/>
        <v>0</v>
      </c>
      <c r="AK155" s="94">
        <f t="shared" si="99"/>
        <v>0</v>
      </c>
      <c r="AL155" s="94">
        <f t="shared" si="100"/>
        <v>0</v>
      </c>
      <c r="AM155" s="94">
        <f t="shared" si="101"/>
        <v>0</v>
      </c>
      <c r="AN155" s="94">
        <f t="shared" si="102"/>
        <v>0</v>
      </c>
      <c r="AO155" s="95">
        <f t="shared" si="103"/>
        <v>0</v>
      </c>
      <c r="AP155" s="126">
        <f t="shared" si="104"/>
        <v>0</v>
      </c>
      <c r="AQ155" s="126">
        <f t="shared" si="105"/>
        <v>0</v>
      </c>
      <c r="AR155" s="126">
        <f t="shared" si="106"/>
        <v>0</v>
      </c>
      <c r="AS155" s="126">
        <f t="shared" si="107"/>
        <v>0</v>
      </c>
      <c r="AT155" s="126">
        <v>0</v>
      </c>
      <c r="AU155" s="126"/>
      <c r="AV155" s="126"/>
      <c r="AW155" s="126"/>
      <c r="AX155" s="126"/>
      <c r="AY155" s="126">
        <f t="shared" si="108"/>
        <v>0</v>
      </c>
      <c r="AZ155" s="127"/>
      <c r="BA155" s="127"/>
      <c r="BB155" s="2"/>
      <c r="BC155" s="27">
        <f t="shared" si="109"/>
        <v>0</v>
      </c>
      <c r="BD155" s="27">
        <f t="shared" si="110"/>
        <v>0</v>
      </c>
      <c r="BE155" s="27"/>
      <c r="BF155" s="27">
        <f t="shared" si="111"/>
        <v>0</v>
      </c>
      <c r="BG155" s="27"/>
      <c r="BH155" s="27">
        <f t="shared" si="112"/>
        <v>0</v>
      </c>
      <c r="BI155" s="27">
        <f t="shared" si="113"/>
        <v>0</v>
      </c>
      <c r="BJ155" s="27">
        <f t="shared" si="114"/>
        <v>0</v>
      </c>
      <c r="BK155" s="27"/>
      <c r="BL155" s="27"/>
      <c r="BM155" s="27">
        <f t="shared" si="115"/>
        <v>0</v>
      </c>
      <c r="BN155" s="27">
        <f t="shared" si="116"/>
        <v>0</v>
      </c>
      <c r="BO155" s="27">
        <f t="shared" si="117"/>
        <v>0</v>
      </c>
      <c r="BP155" s="27"/>
      <c r="BQ155" s="27"/>
    </row>
    <row r="156" spans="15:69" x14ac:dyDescent="0.25">
      <c r="O156" s="126">
        <f t="shared" si="84"/>
        <v>0</v>
      </c>
      <c r="P156" s="126">
        <f t="shared" si="85"/>
        <v>0</v>
      </c>
      <c r="Q156" s="126">
        <f t="shared" si="86"/>
        <v>0</v>
      </c>
      <c r="R156" s="126">
        <f t="shared" si="87"/>
        <v>0</v>
      </c>
      <c r="S156" s="126">
        <f t="shared" si="88"/>
        <v>0</v>
      </c>
      <c r="T156" s="126">
        <f t="shared" si="89"/>
        <v>0</v>
      </c>
      <c r="U156" s="94">
        <f t="shared" si="90"/>
        <v>0</v>
      </c>
      <c r="V156" s="94">
        <f t="shared" si="91"/>
        <v>0</v>
      </c>
      <c r="W156" s="94">
        <f t="shared" si="92"/>
        <v>0</v>
      </c>
      <c r="X156" s="94">
        <f t="shared" si="93"/>
        <v>0</v>
      </c>
      <c r="Y156" s="95">
        <f t="shared" si="94"/>
        <v>0</v>
      </c>
      <c r="Z156" s="126">
        <f t="shared" si="95"/>
        <v>0</v>
      </c>
      <c r="AA156" s="126">
        <f t="shared" si="96"/>
        <v>0</v>
      </c>
      <c r="AB156" s="126">
        <f t="shared" si="97"/>
        <v>0</v>
      </c>
      <c r="AC156" s="126">
        <f t="shared" si="98"/>
        <v>0</v>
      </c>
      <c r="AK156" s="94">
        <f t="shared" si="99"/>
        <v>0</v>
      </c>
      <c r="AL156" s="94">
        <f t="shared" si="100"/>
        <v>0</v>
      </c>
      <c r="AM156" s="94">
        <f t="shared" si="101"/>
        <v>0</v>
      </c>
      <c r="AN156" s="94">
        <f t="shared" si="102"/>
        <v>0</v>
      </c>
      <c r="AO156" s="95">
        <f t="shared" si="103"/>
        <v>0</v>
      </c>
      <c r="AP156" s="126">
        <f t="shared" si="104"/>
        <v>0</v>
      </c>
      <c r="AQ156" s="126">
        <f t="shared" si="105"/>
        <v>0</v>
      </c>
      <c r="AR156" s="126">
        <f t="shared" si="106"/>
        <v>0</v>
      </c>
      <c r="AS156" s="126">
        <f t="shared" si="107"/>
        <v>0</v>
      </c>
      <c r="AT156" s="126">
        <v>0</v>
      </c>
      <c r="AU156" s="126"/>
      <c r="AV156" s="126"/>
      <c r="AW156" s="126"/>
      <c r="AX156" s="126"/>
      <c r="AY156" s="126">
        <f t="shared" si="108"/>
        <v>0</v>
      </c>
      <c r="AZ156" s="127"/>
      <c r="BA156" s="127"/>
      <c r="BB156" s="2"/>
      <c r="BC156" s="27">
        <f t="shared" si="109"/>
        <v>0</v>
      </c>
      <c r="BD156" s="27">
        <f t="shared" si="110"/>
        <v>0</v>
      </c>
      <c r="BE156" s="27"/>
      <c r="BF156" s="27">
        <f t="shared" si="111"/>
        <v>0</v>
      </c>
      <c r="BG156" s="27"/>
      <c r="BH156" s="27">
        <f t="shared" si="112"/>
        <v>0</v>
      </c>
      <c r="BI156" s="27">
        <f t="shared" si="113"/>
        <v>0</v>
      </c>
      <c r="BJ156" s="27">
        <f t="shared" si="114"/>
        <v>0</v>
      </c>
      <c r="BK156" s="27"/>
      <c r="BL156" s="27"/>
      <c r="BM156" s="27">
        <f t="shared" si="115"/>
        <v>0</v>
      </c>
      <c r="BN156" s="27">
        <f t="shared" si="116"/>
        <v>0</v>
      </c>
      <c r="BO156" s="27">
        <f t="shared" si="117"/>
        <v>0</v>
      </c>
      <c r="BP156" s="27"/>
      <c r="BQ156" s="27"/>
    </row>
    <row r="157" spans="15:69" x14ac:dyDescent="0.25">
      <c r="O157" s="126">
        <f t="shared" si="84"/>
        <v>0</v>
      </c>
      <c r="P157" s="126">
        <f t="shared" si="85"/>
        <v>0</v>
      </c>
      <c r="Q157" s="126">
        <f t="shared" si="86"/>
        <v>0</v>
      </c>
      <c r="R157" s="126">
        <f t="shared" si="87"/>
        <v>0</v>
      </c>
      <c r="S157" s="126">
        <f t="shared" si="88"/>
        <v>0</v>
      </c>
      <c r="T157" s="126">
        <f t="shared" si="89"/>
        <v>0</v>
      </c>
      <c r="U157" s="94">
        <f t="shared" si="90"/>
        <v>0</v>
      </c>
      <c r="V157" s="94">
        <f t="shared" si="91"/>
        <v>0</v>
      </c>
      <c r="W157" s="94">
        <f t="shared" si="92"/>
        <v>0</v>
      </c>
      <c r="X157" s="94">
        <f t="shared" si="93"/>
        <v>0</v>
      </c>
      <c r="Y157" s="95">
        <f t="shared" si="94"/>
        <v>0</v>
      </c>
      <c r="Z157" s="126">
        <f t="shared" si="95"/>
        <v>0</v>
      </c>
      <c r="AA157" s="126">
        <f t="shared" si="96"/>
        <v>0</v>
      </c>
      <c r="AB157" s="126">
        <f t="shared" si="97"/>
        <v>0</v>
      </c>
      <c r="AC157" s="126">
        <f t="shared" si="98"/>
        <v>0</v>
      </c>
      <c r="AK157" s="94">
        <f t="shared" si="99"/>
        <v>0</v>
      </c>
      <c r="AL157" s="94">
        <f t="shared" si="100"/>
        <v>0</v>
      </c>
      <c r="AM157" s="94">
        <f t="shared" si="101"/>
        <v>0</v>
      </c>
      <c r="AN157" s="94">
        <f t="shared" si="102"/>
        <v>0</v>
      </c>
      <c r="AO157" s="95">
        <f t="shared" si="103"/>
        <v>0</v>
      </c>
      <c r="AP157" s="126">
        <f t="shared" si="104"/>
        <v>0</v>
      </c>
      <c r="AQ157" s="126">
        <f t="shared" si="105"/>
        <v>0</v>
      </c>
      <c r="AR157" s="126">
        <f t="shared" si="106"/>
        <v>0</v>
      </c>
      <c r="AS157" s="126">
        <f t="shared" si="107"/>
        <v>0</v>
      </c>
      <c r="AT157" s="126">
        <v>0</v>
      </c>
      <c r="AU157" s="126"/>
      <c r="AV157" s="126"/>
      <c r="AW157" s="126"/>
      <c r="AX157" s="126"/>
      <c r="AY157" s="126">
        <f t="shared" si="108"/>
        <v>0</v>
      </c>
      <c r="AZ157" s="127"/>
      <c r="BA157" s="127"/>
      <c r="BB157" s="2"/>
      <c r="BC157" s="27">
        <f t="shared" si="109"/>
        <v>0</v>
      </c>
      <c r="BD157" s="27">
        <f t="shared" si="110"/>
        <v>0</v>
      </c>
      <c r="BE157" s="27"/>
      <c r="BF157" s="27">
        <f t="shared" si="111"/>
        <v>0</v>
      </c>
      <c r="BG157" s="27"/>
      <c r="BH157" s="27">
        <f t="shared" si="112"/>
        <v>0</v>
      </c>
      <c r="BI157" s="27">
        <f t="shared" si="113"/>
        <v>0</v>
      </c>
      <c r="BJ157" s="27">
        <f t="shared" si="114"/>
        <v>0</v>
      </c>
      <c r="BK157" s="27"/>
      <c r="BL157" s="27"/>
      <c r="BM157" s="27">
        <f t="shared" si="115"/>
        <v>0</v>
      </c>
      <c r="BN157" s="27">
        <f t="shared" si="116"/>
        <v>0</v>
      </c>
      <c r="BO157" s="27">
        <f t="shared" si="117"/>
        <v>0</v>
      </c>
      <c r="BP157" s="27"/>
      <c r="BQ157" s="27"/>
    </row>
    <row r="158" spans="15:69" x14ac:dyDescent="0.25">
      <c r="O158" s="126">
        <f t="shared" si="84"/>
        <v>0</v>
      </c>
      <c r="P158" s="126">
        <f t="shared" si="85"/>
        <v>0</v>
      </c>
      <c r="Q158" s="126">
        <f t="shared" si="86"/>
        <v>0</v>
      </c>
      <c r="R158" s="126">
        <f t="shared" si="87"/>
        <v>0</v>
      </c>
      <c r="S158" s="126">
        <f t="shared" si="88"/>
        <v>0</v>
      </c>
      <c r="T158" s="126">
        <f t="shared" si="89"/>
        <v>0</v>
      </c>
      <c r="U158" s="94">
        <f t="shared" si="90"/>
        <v>0</v>
      </c>
      <c r="V158" s="94">
        <f t="shared" si="91"/>
        <v>0</v>
      </c>
      <c r="W158" s="94">
        <f t="shared" si="92"/>
        <v>0</v>
      </c>
      <c r="X158" s="94">
        <f t="shared" si="93"/>
        <v>0</v>
      </c>
      <c r="Y158" s="95">
        <f t="shared" si="94"/>
        <v>0</v>
      </c>
      <c r="Z158" s="126">
        <f t="shared" si="95"/>
        <v>0</v>
      </c>
      <c r="AA158" s="126">
        <f t="shared" si="96"/>
        <v>0</v>
      </c>
      <c r="AB158" s="126">
        <f t="shared" si="97"/>
        <v>0</v>
      </c>
      <c r="AC158" s="126">
        <f t="shared" si="98"/>
        <v>0</v>
      </c>
      <c r="AK158" s="94">
        <f t="shared" si="99"/>
        <v>0</v>
      </c>
      <c r="AL158" s="94">
        <f t="shared" si="100"/>
        <v>0</v>
      </c>
      <c r="AM158" s="94">
        <f t="shared" si="101"/>
        <v>0</v>
      </c>
      <c r="AN158" s="94">
        <f t="shared" si="102"/>
        <v>0</v>
      </c>
      <c r="AO158" s="95">
        <f t="shared" si="103"/>
        <v>0</v>
      </c>
      <c r="AP158" s="126">
        <f t="shared" si="104"/>
        <v>0</v>
      </c>
      <c r="AQ158" s="126">
        <f t="shared" si="105"/>
        <v>0</v>
      </c>
      <c r="AR158" s="126">
        <f t="shared" si="106"/>
        <v>0</v>
      </c>
      <c r="AS158" s="126">
        <f t="shared" si="107"/>
        <v>0</v>
      </c>
      <c r="AT158" s="126">
        <v>0</v>
      </c>
      <c r="AU158" s="126"/>
      <c r="AV158" s="126"/>
      <c r="AW158" s="126"/>
      <c r="AX158" s="126"/>
      <c r="AY158" s="126">
        <f t="shared" si="108"/>
        <v>0</v>
      </c>
      <c r="AZ158" s="127"/>
      <c r="BA158" s="127"/>
      <c r="BB158" s="2"/>
      <c r="BC158" s="27">
        <f t="shared" si="109"/>
        <v>0</v>
      </c>
      <c r="BD158" s="27">
        <f t="shared" si="110"/>
        <v>0</v>
      </c>
      <c r="BE158" s="27"/>
      <c r="BF158" s="27">
        <f t="shared" si="111"/>
        <v>0</v>
      </c>
      <c r="BG158" s="27"/>
      <c r="BH158" s="27">
        <f t="shared" si="112"/>
        <v>0</v>
      </c>
      <c r="BI158" s="27">
        <f t="shared" si="113"/>
        <v>0</v>
      </c>
      <c r="BJ158" s="27">
        <f t="shared" si="114"/>
        <v>0</v>
      </c>
      <c r="BK158" s="27"/>
      <c r="BL158" s="27"/>
      <c r="BM158" s="27">
        <f t="shared" si="115"/>
        <v>0</v>
      </c>
      <c r="BN158" s="27">
        <f t="shared" si="116"/>
        <v>0</v>
      </c>
      <c r="BO158" s="27">
        <f t="shared" si="117"/>
        <v>0</v>
      </c>
      <c r="BP158" s="27"/>
      <c r="BQ158" s="27"/>
    </row>
    <row r="159" spans="15:69" x14ac:dyDescent="0.25">
      <c r="O159" s="126">
        <f t="shared" si="84"/>
        <v>0</v>
      </c>
      <c r="P159" s="126">
        <f t="shared" si="85"/>
        <v>0</v>
      </c>
      <c r="Q159" s="126">
        <f t="shared" si="86"/>
        <v>0</v>
      </c>
      <c r="R159" s="126">
        <f t="shared" si="87"/>
        <v>0</v>
      </c>
      <c r="S159" s="126">
        <f t="shared" si="88"/>
        <v>0</v>
      </c>
      <c r="T159" s="126">
        <f t="shared" si="89"/>
        <v>0</v>
      </c>
      <c r="U159" s="94">
        <f t="shared" si="90"/>
        <v>0</v>
      </c>
      <c r="V159" s="94">
        <f t="shared" si="91"/>
        <v>0</v>
      </c>
      <c r="W159" s="94">
        <f t="shared" si="92"/>
        <v>0</v>
      </c>
      <c r="X159" s="94">
        <f t="shared" si="93"/>
        <v>0</v>
      </c>
      <c r="Y159" s="95">
        <f t="shared" si="94"/>
        <v>0</v>
      </c>
      <c r="Z159" s="126">
        <f t="shared" si="95"/>
        <v>0</v>
      </c>
      <c r="AA159" s="126">
        <f t="shared" si="96"/>
        <v>0</v>
      </c>
      <c r="AB159" s="126">
        <f t="shared" si="97"/>
        <v>0</v>
      </c>
      <c r="AC159" s="126">
        <f t="shared" si="98"/>
        <v>0</v>
      </c>
      <c r="AK159" s="94">
        <f t="shared" si="99"/>
        <v>0</v>
      </c>
      <c r="AL159" s="94">
        <f t="shared" si="100"/>
        <v>0</v>
      </c>
      <c r="AM159" s="94">
        <f t="shared" si="101"/>
        <v>0</v>
      </c>
      <c r="AN159" s="94">
        <f t="shared" si="102"/>
        <v>0</v>
      </c>
      <c r="AO159" s="95">
        <f t="shared" si="103"/>
        <v>0</v>
      </c>
      <c r="AP159" s="126">
        <f t="shared" si="104"/>
        <v>0</v>
      </c>
      <c r="AQ159" s="126">
        <f t="shared" si="105"/>
        <v>0</v>
      </c>
      <c r="AR159" s="126">
        <f t="shared" si="106"/>
        <v>0</v>
      </c>
      <c r="AS159" s="126">
        <f t="shared" si="107"/>
        <v>0</v>
      </c>
      <c r="AT159" s="126">
        <v>0</v>
      </c>
      <c r="AU159" s="126"/>
      <c r="AV159" s="126"/>
      <c r="AW159" s="126"/>
      <c r="AX159" s="126"/>
      <c r="AY159" s="126">
        <f t="shared" si="108"/>
        <v>0</v>
      </c>
      <c r="AZ159" s="127"/>
      <c r="BA159" s="127"/>
      <c r="BB159" s="2"/>
      <c r="BC159" s="27">
        <f t="shared" si="109"/>
        <v>0</v>
      </c>
      <c r="BD159" s="27">
        <f t="shared" si="110"/>
        <v>0</v>
      </c>
      <c r="BE159" s="27"/>
      <c r="BF159" s="27">
        <f t="shared" si="111"/>
        <v>0</v>
      </c>
      <c r="BG159" s="27"/>
      <c r="BH159" s="27">
        <f t="shared" si="112"/>
        <v>0</v>
      </c>
      <c r="BI159" s="27">
        <f t="shared" si="113"/>
        <v>0</v>
      </c>
      <c r="BJ159" s="27">
        <f t="shared" si="114"/>
        <v>0</v>
      </c>
      <c r="BK159" s="27"/>
      <c r="BL159" s="27"/>
      <c r="BM159" s="27">
        <f t="shared" si="115"/>
        <v>0</v>
      </c>
      <c r="BN159" s="27">
        <f t="shared" si="116"/>
        <v>0</v>
      </c>
      <c r="BO159" s="27">
        <f t="shared" si="117"/>
        <v>0</v>
      </c>
      <c r="BP159" s="27"/>
      <c r="BQ159" s="27"/>
    </row>
    <row r="160" spans="15:69" x14ac:dyDescent="0.25">
      <c r="O160" s="126">
        <f t="shared" si="84"/>
        <v>0</v>
      </c>
      <c r="P160" s="126">
        <f t="shared" si="85"/>
        <v>0</v>
      </c>
      <c r="Q160" s="126">
        <f t="shared" si="86"/>
        <v>0</v>
      </c>
      <c r="R160" s="126">
        <f t="shared" si="87"/>
        <v>0</v>
      </c>
      <c r="S160" s="126">
        <f t="shared" si="88"/>
        <v>0</v>
      </c>
      <c r="T160" s="126">
        <f t="shared" si="89"/>
        <v>0</v>
      </c>
      <c r="U160" s="94">
        <f t="shared" si="90"/>
        <v>0</v>
      </c>
      <c r="V160" s="94">
        <f t="shared" si="91"/>
        <v>0</v>
      </c>
      <c r="W160" s="94">
        <f t="shared" si="92"/>
        <v>0</v>
      </c>
      <c r="X160" s="94">
        <f t="shared" si="93"/>
        <v>0</v>
      </c>
      <c r="Y160" s="95">
        <f t="shared" si="94"/>
        <v>0</v>
      </c>
      <c r="Z160" s="126">
        <f t="shared" si="95"/>
        <v>0</v>
      </c>
      <c r="AA160" s="126">
        <f t="shared" si="96"/>
        <v>0</v>
      </c>
      <c r="AB160" s="126">
        <f t="shared" si="97"/>
        <v>0</v>
      </c>
      <c r="AC160" s="126">
        <f t="shared" si="98"/>
        <v>0</v>
      </c>
      <c r="AK160" s="94">
        <f t="shared" si="99"/>
        <v>0</v>
      </c>
      <c r="AL160" s="94">
        <f t="shared" si="100"/>
        <v>0</v>
      </c>
      <c r="AM160" s="94">
        <f t="shared" si="101"/>
        <v>0</v>
      </c>
      <c r="AN160" s="94">
        <f t="shared" si="102"/>
        <v>0</v>
      </c>
      <c r="AO160" s="95">
        <f t="shared" si="103"/>
        <v>0</v>
      </c>
      <c r="AP160" s="126">
        <f t="shared" si="104"/>
        <v>0</v>
      </c>
      <c r="AQ160" s="126">
        <f t="shared" si="105"/>
        <v>0</v>
      </c>
      <c r="AR160" s="126">
        <f t="shared" si="106"/>
        <v>0</v>
      </c>
      <c r="AS160" s="126">
        <f t="shared" si="107"/>
        <v>0</v>
      </c>
      <c r="AT160" s="126">
        <v>0</v>
      </c>
      <c r="AU160" s="126"/>
      <c r="AV160" s="126"/>
      <c r="AW160" s="126"/>
      <c r="AX160" s="126"/>
      <c r="AY160" s="126">
        <f t="shared" si="108"/>
        <v>0</v>
      </c>
      <c r="AZ160" s="127"/>
      <c r="BA160" s="127"/>
      <c r="BB160" s="2"/>
      <c r="BC160" s="27">
        <f t="shared" si="109"/>
        <v>0</v>
      </c>
      <c r="BD160" s="27">
        <f t="shared" si="110"/>
        <v>0</v>
      </c>
      <c r="BE160" s="27"/>
      <c r="BF160" s="27">
        <f t="shared" si="111"/>
        <v>0</v>
      </c>
      <c r="BG160" s="27"/>
      <c r="BH160" s="27">
        <f t="shared" si="112"/>
        <v>0</v>
      </c>
      <c r="BI160" s="27">
        <f t="shared" si="113"/>
        <v>0</v>
      </c>
      <c r="BJ160" s="27">
        <f t="shared" si="114"/>
        <v>0</v>
      </c>
      <c r="BK160" s="27"/>
      <c r="BL160" s="27"/>
      <c r="BM160" s="27">
        <f t="shared" si="115"/>
        <v>0</v>
      </c>
      <c r="BN160" s="27">
        <f t="shared" si="116"/>
        <v>0</v>
      </c>
      <c r="BO160" s="27">
        <f t="shared" si="117"/>
        <v>0</v>
      </c>
      <c r="BP160" s="27"/>
      <c r="BQ160" s="27"/>
    </row>
  </sheetData>
  <autoFilter ref="A7:BQ140"/>
  <sortState ref="A12:BQ296">
    <sortCondition ref="A12:A296"/>
    <sortCondition ref="B12:B296"/>
    <sortCondition ref="C12:C296"/>
    <sortCondition ref="G12:G296"/>
  </sortState>
  <mergeCells count="11">
    <mergeCell ref="J1:AM1"/>
    <mergeCell ref="Y10:Y11"/>
    <mergeCell ref="AO10:AO11"/>
    <mergeCell ref="G10:G11"/>
    <mergeCell ref="H10:H11"/>
    <mergeCell ref="F10:F11"/>
    <mergeCell ref="A10:A11"/>
    <mergeCell ref="B10:B11"/>
    <mergeCell ref="C10:C11"/>
    <mergeCell ref="D10:D11"/>
    <mergeCell ref="E10:E11"/>
  </mergeCells>
  <phoneticPr fontId="1" type="noConversion"/>
  <conditionalFormatting sqref="F12">
    <cfRule type="duplicateValues" dxfId="10" priority="117"/>
  </conditionalFormatting>
  <conditionalFormatting sqref="F96:F99">
    <cfRule type="duplicateValues" dxfId="9" priority="181"/>
  </conditionalFormatting>
  <conditionalFormatting sqref="F118:F121">
    <cfRule type="duplicateValues" dxfId="8" priority="2"/>
  </conditionalFormatting>
  <conditionalFormatting sqref="F100:F117">
    <cfRule type="duplicateValues" dxfId="7" priority="3"/>
  </conditionalFormatting>
  <conditionalFormatting sqref="F13:F95">
    <cfRule type="duplicateValues" dxfId="6" priority="193"/>
  </conditionalFormatting>
  <conditionalFormatting sqref="F122:F140">
    <cfRule type="duplicateValues" dxfId="5" priority="1"/>
  </conditionalFormatting>
  <printOptions horizontalCentered="1" verticalCentered="1" headings="1" gridLines="1"/>
  <pageMargins left="0.15748031496062992" right="0.15748031496062992" top="0.98425196850393704" bottom="0.98425196850393704" header="0.51181102362204722" footer="0.51181102362204722"/>
  <pageSetup paperSize="8" scale="95" fitToHeight="0" orientation="landscape" r:id="rId1"/>
  <headerFooter alignWithMargins="0">
    <oddFooter>&amp;C&amp;P of &amp;N</oddFooter>
  </headerFooter>
  <colBreaks count="1" manualBreakCount="1">
    <brk id="36" min="8" max="33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PrepareWorksheet.PrepareWorksheet">
                <anchor moveWithCells="1" sizeWithCells="1">
                  <from>
                    <xdr:col>0</xdr:col>
                    <xdr:colOff>63500</xdr:colOff>
                    <xdr:row>0</xdr:row>
                    <xdr:rowOff>114300</xdr:rowOff>
                  </from>
                  <to>
                    <xdr:col>2</xdr:col>
                    <xdr:colOff>317500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ourseStructures.CourseStructures">
                <anchor moveWithCells="1" sizeWithCells="1">
                  <from>
                    <xdr:col>0</xdr:col>
                    <xdr:colOff>63500</xdr:colOff>
                    <xdr:row>1</xdr:row>
                    <xdr:rowOff>203200</xdr:rowOff>
                  </from>
                  <to>
                    <xdr:col>2</xdr:col>
                    <xdr:colOff>317500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omputeStdNumbers">
                <anchor moveWithCells="1" sizeWithCells="1">
                  <from>
                    <xdr:col>7</xdr:col>
                    <xdr:colOff>114300</xdr:colOff>
                    <xdr:row>0</xdr:row>
                    <xdr:rowOff>114300</xdr:rowOff>
                  </from>
                  <to>
                    <xdr:col>8</xdr:col>
                    <xdr:colOff>279400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opyElectives.CopyElectives">
                <anchor moveWithCells="1" sizeWithCells="1">
                  <from>
                    <xdr:col>0</xdr:col>
                    <xdr:colOff>63500</xdr:colOff>
                    <xdr:row>3</xdr:row>
                    <xdr:rowOff>76200</xdr:rowOff>
                  </from>
                  <to>
                    <xdr:col>2</xdr:col>
                    <xdr:colOff>317500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ElectiveNumbers.ElectiveNumbers">
                <anchor moveWithCells="1" sizeWithCells="1">
                  <from>
                    <xdr:col>7</xdr:col>
                    <xdr:colOff>101600</xdr:colOff>
                    <xdr:row>2</xdr:row>
                    <xdr:rowOff>114300</xdr:rowOff>
                  </from>
                  <to>
                    <xdr:col>8</xdr:col>
                    <xdr:colOff>279400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HighlightClasses">
                <anchor moveWithCells="1" sizeWithCells="1">
                  <from>
                    <xdr:col>12</xdr:col>
                    <xdr:colOff>76200</xdr:colOff>
                    <xdr:row>2</xdr:row>
                    <xdr:rowOff>101600</xdr:rowOff>
                  </from>
                  <to>
                    <xdr:col>14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FYP_INTS.FYP_INTS">
                <anchor moveWithCells="1" sizeWithCells="1">
                  <from>
                    <xdr:col>12</xdr:col>
                    <xdr:colOff>63500</xdr:colOff>
                    <xdr:row>0</xdr:row>
                    <xdr:rowOff>215900</xdr:rowOff>
                  </from>
                  <to>
                    <xdr:col>14</xdr:col>
                    <xdr:colOff>596900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SortByCourse">
                <anchor moveWithCells="1" sizeWithCells="1">
                  <from>
                    <xdr:col>0</xdr:col>
                    <xdr:colOff>50800</xdr:colOff>
                    <xdr:row>7</xdr:row>
                    <xdr:rowOff>215900</xdr:rowOff>
                  </from>
                  <to>
                    <xdr:col>2</xdr:col>
                    <xdr:colOff>292100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2" name="Button 2">
              <controlPr defaultSize="0" print="0" autoFill="0" autoPict="0" macro="[0]!SortByModule">
                <anchor moveWithCells="1" sizeWithCells="1">
                  <from>
                    <xdr:col>4</xdr:col>
                    <xdr:colOff>342900</xdr:colOff>
                    <xdr:row>7</xdr:row>
                    <xdr:rowOff>228600</xdr:rowOff>
                  </from>
                  <to>
                    <xdr:col>7</xdr:col>
                    <xdr:colOff>63500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zoomScale="89" zoomScaleNormal="89" zoomScalePageLayoutView="89" workbookViewId="0">
      <selection activeCell="E20" sqref="E20"/>
    </sheetView>
  </sheetViews>
  <sheetFormatPr defaultColWidth="8.81640625" defaultRowHeight="12.5" x14ac:dyDescent="0.25"/>
  <cols>
    <col min="1" max="5" width="8.81640625" style="23"/>
    <col min="6" max="7" width="8.81640625" style="24"/>
    <col min="8" max="8" width="8.81640625" style="139"/>
  </cols>
  <sheetData>
    <row r="1" spans="1:9" ht="12.5" customHeight="1" x14ac:dyDescent="0.25">
      <c r="A1" s="225" t="s">
        <v>4</v>
      </c>
      <c r="B1" s="225" t="s">
        <v>93</v>
      </c>
      <c r="C1" s="225" t="s">
        <v>99</v>
      </c>
      <c r="D1" s="225" t="s">
        <v>0</v>
      </c>
      <c r="E1" s="223" t="s">
        <v>43</v>
      </c>
      <c r="F1" s="222" t="s">
        <v>160</v>
      </c>
      <c r="G1" s="222"/>
      <c r="H1" s="221" t="s">
        <v>269</v>
      </c>
      <c r="I1" s="221"/>
    </row>
    <row r="2" spans="1:9" ht="10.5" customHeight="1" x14ac:dyDescent="0.25">
      <c r="A2" s="224"/>
      <c r="B2" s="224"/>
      <c r="C2" s="224"/>
      <c r="D2" s="224"/>
      <c r="E2" s="224"/>
      <c r="F2" s="169" t="s">
        <v>51</v>
      </c>
      <c r="G2" s="169" t="s">
        <v>50</v>
      </c>
      <c r="H2" s="169" t="s">
        <v>51</v>
      </c>
      <c r="I2" s="169" t="s">
        <v>50</v>
      </c>
    </row>
    <row r="3" spans="1:9" x14ac:dyDescent="0.25">
      <c r="A3" s="23" t="s">
        <v>3</v>
      </c>
      <c r="B3" s="23" t="s">
        <v>90</v>
      </c>
      <c r="C3" s="23" t="s">
        <v>373</v>
      </c>
      <c r="D3" s="23" t="s">
        <v>389</v>
      </c>
      <c r="E3" s="23" t="s">
        <v>372</v>
      </c>
      <c r="I3" s="139"/>
    </row>
    <row r="4" spans="1:9" x14ac:dyDescent="0.25">
      <c r="A4" s="23" t="s">
        <v>3</v>
      </c>
      <c r="B4" s="23" t="s">
        <v>90</v>
      </c>
      <c r="C4" s="23" t="s">
        <v>375</v>
      </c>
      <c r="D4" s="23" t="s">
        <v>390</v>
      </c>
      <c r="E4" s="23" t="s">
        <v>374</v>
      </c>
      <c r="I4" s="139"/>
    </row>
    <row r="5" spans="1:9" x14ac:dyDescent="0.25">
      <c r="A5" s="23" t="s">
        <v>3</v>
      </c>
      <c r="B5" s="23" t="s">
        <v>90</v>
      </c>
      <c r="C5" s="23" t="s">
        <v>377</v>
      </c>
      <c r="D5" s="23" t="s">
        <v>391</v>
      </c>
      <c r="E5" s="23" t="s">
        <v>376</v>
      </c>
      <c r="I5" s="139"/>
    </row>
    <row r="6" spans="1:9" x14ac:dyDescent="0.25">
      <c r="A6" s="23" t="s">
        <v>3</v>
      </c>
      <c r="B6" s="23" t="s">
        <v>91</v>
      </c>
      <c r="C6" s="23" t="s">
        <v>379</v>
      </c>
      <c r="D6" s="23" t="s">
        <v>392</v>
      </c>
      <c r="E6" s="23" t="s">
        <v>378</v>
      </c>
      <c r="I6" s="139"/>
    </row>
    <row r="7" spans="1:9" x14ac:dyDescent="0.25">
      <c r="A7" s="23" t="s">
        <v>3</v>
      </c>
      <c r="B7" s="23" t="s">
        <v>91</v>
      </c>
      <c r="C7" s="23" t="s">
        <v>380</v>
      </c>
      <c r="D7" s="23" t="s">
        <v>118</v>
      </c>
      <c r="E7" s="23" t="s">
        <v>108</v>
      </c>
      <c r="I7" s="139"/>
    </row>
    <row r="8" spans="1:9" x14ac:dyDescent="0.25">
      <c r="A8" s="23" t="s">
        <v>3</v>
      </c>
      <c r="B8" s="23" t="s">
        <v>91</v>
      </c>
      <c r="C8" s="23" t="s">
        <v>382</v>
      </c>
      <c r="D8" s="23" t="s">
        <v>393</v>
      </c>
      <c r="E8" s="23" t="s">
        <v>381</v>
      </c>
      <c r="I8" s="139"/>
    </row>
    <row r="9" spans="1:9" x14ac:dyDescent="0.25">
      <c r="A9" s="23" t="s">
        <v>3</v>
      </c>
      <c r="B9" s="23" t="s">
        <v>92</v>
      </c>
      <c r="C9" s="23" t="s">
        <v>384</v>
      </c>
      <c r="D9" s="23" t="s">
        <v>394</v>
      </c>
      <c r="E9" s="23" t="s">
        <v>383</v>
      </c>
      <c r="I9" s="139"/>
    </row>
    <row r="10" spans="1:9" x14ac:dyDescent="0.25">
      <c r="A10" s="23" t="s">
        <v>3</v>
      </c>
      <c r="B10" s="23" t="s">
        <v>92</v>
      </c>
      <c r="C10" s="23" t="s">
        <v>386</v>
      </c>
      <c r="D10" s="23" t="s">
        <v>395</v>
      </c>
      <c r="E10" s="23" t="s">
        <v>385</v>
      </c>
      <c r="I10" s="139"/>
    </row>
    <row r="11" spans="1:9" x14ac:dyDescent="0.25">
      <c r="A11" s="23" t="s">
        <v>3</v>
      </c>
      <c r="B11" s="23" t="s">
        <v>92</v>
      </c>
      <c r="C11" s="23" t="s">
        <v>388</v>
      </c>
      <c r="D11" s="23" t="s">
        <v>396</v>
      </c>
      <c r="E11" s="23" t="s">
        <v>387</v>
      </c>
      <c r="I11" s="139"/>
    </row>
    <row r="12" spans="1:9" x14ac:dyDescent="0.25">
      <c r="A12" s="23" t="s">
        <v>3</v>
      </c>
      <c r="B12" s="23" t="s">
        <v>92</v>
      </c>
      <c r="C12" s="23" t="s">
        <v>370</v>
      </c>
      <c r="D12" s="23" t="e">
        <v>#N/A</v>
      </c>
      <c r="I12" s="139"/>
    </row>
    <row r="13" spans="1:9" x14ac:dyDescent="0.25">
      <c r="I13" s="139"/>
    </row>
  </sheetData>
  <autoFilter ref="A1:G2">
    <filterColumn colId="5" showButton="0"/>
    <sortState ref="A4:G60">
      <sortCondition ref="A1:A60"/>
    </sortState>
  </autoFilter>
  <sortState ref="A4:I67">
    <sortCondition ref="E3:E67"/>
    <sortCondition ref="B3:B67"/>
  </sortState>
  <mergeCells count="7">
    <mergeCell ref="H1:I1"/>
    <mergeCell ref="F1:G1"/>
    <mergeCell ref="E1:E2"/>
    <mergeCell ref="A1:A2"/>
    <mergeCell ref="B1:B2"/>
    <mergeCell ref="C1:C2"/>
    <mergeCell ref="D1:D2"/>
  </mergeCells>
  <printOptions gridLine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51"/>
  <sheetViews>
    <sheetView workbookViewId="0">
      <selection activeCell="O49" sqref="O49"/>
    </sheetView>
  </sheetViews>
  <sheetFormatPr defaultColWidth="9.1796875" defaultRowHeight="20.25" customHeight="1" x14ac:dyDescent="0.3"/>
  <cols>
    <col min="1" max="34" width="6.6328125" style="73" customWidth="1"/>
    <col min="35" max="36" width="6.6328125" style="74" customWidth="1"/>
    <col min="37" max="37" width="9.1796875" style="74" customWidth="1"/>
    <col min="38" max="43" width="9.1796875" style="75" customWidth="1"/>
    <col min="44" max="49" width="9.1796875" style="75"/>
    <col min="50" max="16384" width="9.1796875" style="73"/>
  </cols>
  <sheetData>
    <row r="1" spans="1:49" s="70" customFormat="1" ht="20.25" customHeight="1" x14ac:dyDescent="0.3">
      <c r="A1" s="70">
        <v>1</v>
      </c>
      <c r="B1" s="70">
        <v>2</v>
      </c>
      <c r="C1" s="70">
        <v>3</v>
      </c>
      <c r="I1" s="70">
        <v>4</v>
      </c>
      <c r="L1" s="70">
        <v>5</v>
      </c>
      <c r="M1" s="70">
        <v>6</v>
      </c>
      <c r="R1" s="70">
        <v>7</v>
      </c>
      <c r="S1" s="70">
        <v>8</v>
      </c>
      <c r="Y1" s="70">
        <v>9</v>
      </c>
      <c r="AB1" s="70">
        <v>10</v>
      </c>
      <c r="AC1" s="70">
        <v>11</v>
      </c>
      <c r="AH1" s="70">
        <v>12</v>
      </c>
      <c r="AI1" s="71"/>
      <c r="AJ1" s="71"/>
      <c r="AK1" s="71"/>
    </row>
    <row r="2" spans="1:49" s="70" customFormat="1" ht="20.25" customHeight="1" x14ac:dyDescent="0.3">
      <c r="A2" s="70">
        <v>1</v>
      </c>
      <c r="B2" s="70">
        <v>2</v>
      </c>
      <c r="C2" s="70">
        <v>3</v>
      </c>
      <c r="D2" s="70">
        <v>4</v>
      </c>
      <c r="E2" s="70">
        <v>5</v>
      </c>
      <c r="F2" s="70">
        <v>6</v>
      </c>
      <c r="G2" s="70">
        <v>7</v>
      </c>
      <c r="H2" s="70">
        <v>8</v>
      </c>
      <c r="I2" s="70">
        <v>9</v>
      </c>
      <c r="J2" s="70">
        <v>10</v>
      </c>
      <c r="K2" s="70">
        <v>11</v>
      </c>
      <c r="L2" s="70">
        <v>12</v>
      </c>
      <c r="M2" s="70">
        <v>13</v>
      </c>
      <c r="N2" s="70">
        <v>14</v>
      </c>
      <c r="O2" s="70">
        <v>15</v>
      </c>
      <c r="P2" s="70">
        <v>16</v>
      </c>
      <c r="Q2" s="70">
        <v>17</v>
      </c>
      <c r="R2" s="70">
        <v>18</v>
      </c>
      <c r="S2" s="70">
        <v>19</v>
      </c>
      <c r="T2" s="70">
        <v>20</v>
      </c>
      <c r="U2" s="70">
        <v>21</v>
      </c>
      <c r="V2" s="70">
        <v>22</v>
      </c>
      <c r="W2" s="70">
        <v>23</v>
      </c>
      <c r="X2" s="70">
        <v>24</v>
      </c>
      <c r="Y2" s="70">
        <v>25</v>
      </c>
      <c r="Z2" s="70">
        <v>26</v>
      </c>
      <c r="AA2" s="70">
        <v>27</v>
      </c>
      <c r="AB2" s="70">
        <v>28</v>
      </c>
      <c r="AC2" s="70">
        <v>29</v>
      </c>
      <c r="AD2" s="70">
        <v>30</v>
      </c>
      <c r="AE2" s="70">
        <v>31</v>
      </c>
      <c r="AF2" s="70">
        <v>32</v>
      </c>
      <c r="AG2" s="70">
        <v>33</v>
      </c>
      <c r="AH2" s="70">
        <v>34</v>
      </c>
      <c r="AI2" s="71"/>
      <c r="AJ2" s="71"/>
      <c r="AK2" s="71"/>
    </row>
    <row r="3" spans="1:49" ht="20.25" customHeight="1" x14ac:dyDescent="0.3">
      <c r="A3" s="72" t="s">
        <v>173</v>
      </c>
      <c r="B3" s="72"/>
    </row>
    <row r="5" spans="1:49" ht="20.25" customHeight="1" x14ac:dyDescent="0.3">
      <c r="C5" s="226" t="s">
        <v>51</v>
      </c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7" t="s">
        <v>50</v>
      </c>
      <c r="T5" s="227"/>
      <c r="U5" s="227"/>
      <c r="V5" s="227"/>
      <c r="W5" s="227"/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27"/>
      <c r="AL5" s="75" t="s">
        <v>51</v>
      </c>
    </row>
    <row r="6" spans="1:49" ht="20.25" customHeight="1" x14ac:dyDescent="0.3">
      <c r="C6" s="76" t="s">
        <v>57</v>
      </c>
      <c r="D6" s="76"/>
      <c r="E6" s="76"/>
      <c r="F6" s="76"/>
      <c r="G6" s="76"/>
      <c r="H6" s="76"/>
      <c r="I6" s="76" t="s">
        <v>21</v>
      </c>
      <c r="J6" s="76"/>
      <c r="K6" s="76"/>
      <c r="L6" s="76" t="s">
        <v>20</v>
      </c>
      <c r="M6" s="76" t="s">
        <v>58</v>
      </c>
      <c r="N6" s="76"/>
      <c r="O6" s="76"/>
      <c r="P6" s="76"/>
      <c r="Q6" s="76"/>
      <c r="R6" s="76" t="s">
        <v>1</v>
      </c>
      <c r="S6" s="77" t="s">
        <v>57</v>
      </c>
      <c r="T6" s="77"/>
      <c r="U6" s="77"/>
      <c r="V6" s="77"/>
      <c r="W6" s="77"/>
      <c r="X6" s="77"/>
      <c r="Y6" s="77" t="s">
        <v>21</v>
      </c>
      <c r="Z6" s="77"/>
      <c r="AA6" s="77"/>
      <c r="AB6" s="77" t="s">
        <v>20</v>
      </c>
      <c r="AC6" s="77" t="s">
        <v>58</v>
      </c>
      <c r="AD6" s="77"/>
      <c r="AE6" s="77"/>
      <c r="AF6" s="77"/>
      <c r="AG6" s="77"/>
      <c r="AH6" s="77" t="s">
        <v>1</v>
      </c>
      <c r="AI6" s="228" t="s">
        <v>69</v>
      </c>
      <c r="AJ6" s="229"/>
      <c r="AL6" s="78"/>
      <c r="AM6" s="78"/>
      <c r="AN6" s="78"/>
      <c r="AR6" s="75" t="s">
        <v>50</v>
      </c>
    </row>
    <row r="7" spans="1:49" ht="20.25" customHeight="1" x14ac:dyDescent="0.3">
      <c r="C7" s="76" t="s">
        <v>27</v>
      </c>
      <c r="D7" s="76" t="s">
        <v>26</v>
      </c>
      <c r="E7" s="76" t="s">
        <v>28</v>
      </c>
      <c r="F7" s="76" t="s">
        <v>89</v>
      </c>
      <c r="G7" s="76" t="s">
        <v>29</v>
      </c>
      <c r="H7" s="76" t="s">
        <v>1</v>
      </c>
      <c r="I7" s="76" t="s">
        <v>27</v>
      </c>
      <c r="J7" s="76" t="s">
        <v>26</v>
      </c>
      <c r="K7" s="76" t="s">
        <v>1</v>
      </c>
      <c r="L7" s="76" t="s">
        <v>1</v>
      </c>
      <c r="M7" s="76" t="s">
        <v>27</v>
      </c>
      <c r="N7" s="76" t="s">
        <v>26</v>
      </c>
      <c r="O7" s="76" t="s">
        <v>28</v>
      </c>
      <c r="P7" s="76" t="s">
        <v>29</v>
      </c>
      <c r="Q7" s="76" t="s">
        <v>1</v>
      </c>
      <c r="R7" s="76"/>
      <c r="S7" s="77" t="s">
        <v>27</v>
      </c>
      <c r="T7" s="77" t="s">
        <v>26</v>
      </c>
      <c r="U7" s="77" t="s">
        <v>28</v>
      </c>
      <c r="V7" s="77" t="s">
        <v>89</v>
      </c>
      <c r="W7" s="77" t="s">
        <v>29</v>
      </c>
      <c r="X7" s="77" t="s">
        <v>1</v>
      </c>
      <c r="Y7" s="77" t="s">
        <v>27</v>
      </c>
      <c r="Z7" s="77" t="s">
        <v>26</v>
      </c>
      <c r="AA7" s="77" t="s">
        <v>1</v>
      </c>
      <c r="AB7" s="77" t="s">
        <v>1</v>
      </c>
      <c r="AC7" s="77" t="s">
        <v>27</v>
      </c>
      <c r="AD7" s="77" t="s">
        <v>26</v>
      </c>
      <c r="AE7" s="77" t="s">
        <v>28</v>
      </c>
      <c r="AF7" s="77" t="s">
        <v>29</v>
      </c>
      <c r="AG7" s="77" t="s">
        <v>1</v>
      </c>
      <c r="AH7" s="77"/>
      <c r="AI7" s="79"/>
      <c r="AJ7" s="80"/>
      <c r="AL7" s="81" t="s">
        <v>27</v>
      </c>
      <c r="AM7" s="81" t="s">
        <v>26</v>
      </c>
      <c r="AN7" s="81" t="s">
        <v>28</v>
      </c>
      <c r="AO7" s="81" t="s">
        <v>89</v>
      </c>
      <c r="AP7" s="81" t="s">
        <v>29</v>
      </c>
      <c r="AQ7" s="81" t="s">
        <v>1</v>
      </c>
      <c r="AR7" s="82" t="s">
        <v>27</v>
      </c>
      <c r="AS7" s="82" t="s">
        <v>26</v>
      </c>
      <c r="AT7" s="82" t="s">
        <v>28</v>
      </c>
      <c r="AU7" s="82" t="s">
        <v>89</v>
      </c>
      <c r="AV7" s="82" t="s">
        <v>29</v>
      </c>
      <c r="AW7" s="82" t="s">
        <v>1</v>
      </c>
    </row>
    <row r="8" spans="1:49" ht="20.25" customHeight="1" x14ac:dyDescent="0.3">
      <c r="A8" s="83" t="s">
        <v>3</v>
      </c>
      <c r="B8" s="83" t="s">
        <v>5</v>
      </c>
      <c r="C8" s="84">
        <v>4</v>
      </c>
      <c r="D8" s="84">
        <v>92</v>
      </c>
      <c r="E8" s="84">
        <v>52</v>
      </c>
      <c r="F8" s="84"/>
      <c r="G8" s="84"/>
      <c r="H8" s="84">
        <v>148</v>
      </c>
      <c r="I8" s="84">
        <v>5</v>
      </c>
      <c r="J8" s="84">
        <v>6</v>
      </c>
      <c r="K8" s="84">
        <v>11</v>
      </c>
      <c r="L8" s="84">
        <v>24</v>
      </c>
      <c r="M8" s="84"/>
      <c r="N8" s="84"/>
      <c r="O8" s="84"/>
      <c r="P8" s="84"/>
      <c r="Q8" s="84"/>
      <c r="R8" s="84">
        <f>H8+K8+L8+Q8</f>
        <v>183</v>
      </c>
      <c r="S8" s="85">
        <v>10</v>
      </c>
      <c r="T8" s="85">
        <v>64</v>
      </c>
      <c r="U8" s="85">
        <v>48</v>
      </c>
      <c r="V8" s="85"/>
      <c r="W8" s="85"/>
      <c r="X8" s="85">
        <v>122</v>
      </c>
      <c r="Y8" s="85">
        <v>13</v>
      </c>
      <c r="Z8" s="85">
        <v>22</v>
      </c>
      <c r="AA8" s="85">
        <v>35</v>
      </c>
      <c r="AB8" s="85">
        <v>24</v>
      </c>
      <c r="AC8" s="85"/>
      <c r="AD8" s="85"/>
      <c r="AE8" s="85"/>
      <c r="AF8" s="85"/>
      <c r="AG8" s="85"/>
      <c r="AH8" s="85">
        <f>X8+AA8+AB8+AG8</f>
        <v>181</v>
      </c>
      <c r="AI8" s="86">
        <f t="shared" ref="AI8:AI41" si="0">C8-S8</f>
        <v>-6</v>
      </c>
      <c r="AJ8" s="86">
        <f>SUM(AI8:AI10)</f>
        <v>-2.9333333333333336</v>
      </c>
      <c r="AL8" s="81">
        <f>C8+I8+M8</f>
        <v>9</v>
      </c>
      <c r="AM8" s="81">
        <f>D8+J8+L8+N8</f>
        <v>122</v>
      </c>
      <c r="AN8" s="81">
        <f>E8+O8</f>
        <v>52</v>
      </c>
      <c r="AO8" s="81">
        <f>F8</f>
        <v>0</v>
      </c>
      <c r="AP8" s="81">
        <f>G8</f>
        <v>0</v>
      </c>
      <c r="AQ8" s="81">
        <f t="shared" ref="AQ8:AQ23" si="1">SUM(AL8:AP8)</f>
        <v>183</v>
      </c>
      <c r="AR8" s="82">
        <f>S8+Y8+AC8</f>
        <v>23</v>
      </c>
      <c r="AS8" s="82">
        <f>T8+Z8+AB8+AD8</f>
        <v>110</v>
      </c>
      <c r="AT8" s="82">
        <f>U8+AE8</f>
        <v>48</v>
      </c>
      <c r="AU8" s="82">
        <f>V8</f>
        <v>0</v>
      </c>
      <c r="AV8" s="82">
        <f>W8</f>
        <v>0</v>
      </c>
      <c r="AW8" s="82">
        <f>SUM(AR8:AV8)</f>
        <v>181</v>
      </c>
    </row>
    <row r="9" spans="1:49" ht="20.25" customHeight="1" x14ac:dyDescent="0.3">
      <c r="A9" s="83"/>
      <c r="B9" s="83" t="s">
        <v>6</v>
      </c>
      <c r="C9" s="84">
        <v>8</v>
      </c>
      <c r="D9" s="84">
        <v>95.466666666666669</v>
      </c>
      <c r="E9" s="84">
        <v>72</v>
      </c>
      <c r="F9" s="84"/>
      <c r="G9" s="84"/>
      <c r="H9" s="84">
        <v>175.46666666666667</v>
      </c>
      <c r="I9" s="84"/>
      <c r="J9" s="84"/>
      <c r="K9" s="84"/>
      <c r="L9" s="84">
        <v>12</v>
      </c>
      <c r="M9" s="84"/>
      <c r="N9" s="84"/>
      <c r="O9" s="84"/>
      <c r="P9" s="84"/>
      <c r="Q9" s="84"/>
      <c r="R9" s="84">
        <f t="shared" ref="R9:R41" si="2">H9+K9+L9+Q9</f>
        <v>187.46666666666667</v>
      </c>
      <c r="S9" s="85">
        <v>5.4666666666666668</v>
      </c>
      <c r="T9" s="85">
        <v>87.066666666666663</v>
      </c>
      <c r="U9" s="85">
        <v>76</v>
      </c>
      <c r="V9" s="85"/>
      <c r="W9" s="85"/>
      <c r="X9" s="85">
        <v>168.53333333333333</v>
      </c>
      <c r="Y9" s="85"/>
      <c r="Z9" s="85"/>
      <c r="AA9" s="85"/>
      <c r="AB9" s="85">
        <v>16</v>
      </c>
      <c r="AC9" s="85"/>
      <c r="AD9" s="85"/>
      <c r="AE9" s="85"/>
      <c r="AF9" s="85"/>
      <c r="AG9" s="85"/>
      <c r="AH9" s="85">
        <f t="shared" ref="AH9:AH41" si="3">X9+AA9+AB9+AG9</f>
        <v>184.53333333333333</v>
      </c>
      <c r="AI9" s="86">
        <f t="shared" si="0"/>
        <v>2.5333333333333332</v>
      </c>
      <c r="AJ9" s="86"/>
      <c r="AL9" s="81">
        <f t="shared" ref="AL9:AL41" si="4">C9+I9+M9</f>
        <v>8</v>
      </c>
      <c r="AM9" s="81">
        <f t="shared" ref="AM9:AM41" si="5">D9+J9+L9+N9</f>
        <v>107.46666666666667</v>
      </c>
      <c r="AN9" s="81">
        <f t="shared" ref="AN9:AN41" si="6">E9+O9</f>
        <v>72</v>
      </c>
      <c r="AO9" s="81">
        <f t="shared" ref="AO9:AO41" si="7">F9</f>
        <v>0</v>
      </c>
      <c r="AP9" s="81">
        <f t="shared" ref="AP9:AP41" si="8">G9</f>
        <v>0</v>
      </c>
      <c r="AQ9" s="81">
        <f t="shared" si="1"/>
        <v>187.46666666666667</v>
      </c>
      <c r="AR9" s="82">
        <f t="shared" ref="AR9:AR41" si="9">S9+Y9+AC9</f>
        <v>5.4666666666666668</v>
      </c>
      <c r="AS9" s="82">
        <f t="shared" ref="AS9:AS41" si="10">T9+Z9+AB9+AD9</f>
        <v>103.06666666666666</v>
      </c>
      <c r="AT9" s="82">
        <f t="shared" ref="AT9:AT41" si="11">U9+AE9</f>
        <v>76</v>
      </c>
      <c r="AU9" s="82">
        <f t="shared" ref="AU9:AU41" si="12">V9</f>
        <v>0</v>
      </c>
      <c r="AV9" s="82">
        <f t="shared" ref="AV9:AV41" si="13">W9</f>
        <v>0</v>
      </c>
      <c r="AW9" s="82">
        <f t="shared" ref="AW9:AW40" si="14">SUM(AR9:AV9)</f>
        <v>184.53333333333333</v>
      </c>
    </row>
    <row r="10" spans="1:49" ht="20.25" customHeight="1" x14ac:dyDescent="0.3">
      <c r="A10" s="83"/>
      <c r="B10" s="83" t="s">
        <v>7</v>
      </c>
      <c r="C10" s="84">
        <v>2.6</v>
      </c>
      <c r="D10" s="84">
        <v>34.93333333333333</v>
      </c>
      <c r="E10" s="84">
        <v>49</v>
      </c>
      <c r="F10" s="84"/>
      <c r="G10" s="84">
        <v>0</v>
      </c>
      <c r="H10" s="84">
        <v>86.533333333333331</v>
      </c>
      <c r="I10" s="84"/>
      <c r="J10" s="84"/>
      <c r="K10" s="84"/>
      <c r="L10" s="84">
        <v>0</v>
      </c>
      <c r="M10" s="84"/>
      <c r="N10" s="84"/>
      <c r="O10" s="84"/>
      <c r="P10" s="84"/>
      <c r="Q10" s="84"/>
      <c r="R10" s="84">
        <f t="shared" si="2"/>
        <v>86.533333333333331</v>
      </c>
      <c r="S10" s="85">
        <v>2.0666666666666669</v>
      </c>
      <c r="T10" s="85">
        <v>20.933333333333334</v>
      </c>
      <c r="U10" s="85">
        <v>51</v>
      </c>
      <c r="V10" s="85"/>
      <c r="W10" s="85">
        <v>0</v>
      </c>
      <c r="X10" s="85">
        <v>74</v>
      </c>
      <c r="Y10" s="85"/>
      <c r="Z10" s="85"/>
      <c r="AA10" s="85"/>
      <c r="AB10" s="85">
        <v>0</v>
      </c>
      <c r="AC10" s="85"/>
      <c r="AD10" s="85"/>
      <c r="AE10" s="85"/>
      <c r="AF10" s="85"/>
      <c r="AG10" s="85"/>
      <c r="AH10" s="85">
        <f t="shared" si="3"/>
        <v>74</v>
      </c>
      <c r="AI10" s="86">
        <f t="shared" si="0"/>
        <v>0.53333333333333321</v>
      </c>
      <c r="AJ10" s="86"/>
      <c r="AL10" s="81">
        <f t="shared" si="4"/>
        <v>2.6</v>
      </c>
      <c r="AM10" s="81">
        <f t="shared" si="5"/>
        <v>34.93333333333333</v>
      </c>
      <c r="AN10" s="81">
        <f t="shared" si="6"/>
        <v>49</v>
      </c>
      <c r="AO10" s="81">
        <f t="shared" si="7"/>
        <v>0</v>
      </c>
      <c r="AP10" s="81">
        <f t="shared" si="8"/>
        <v>0</v>
      </c>
      <c r="AQ10" s="81">
        <f t="shared" si="1"/>
        <v>86.533333333333331</v>
      </c>
      <c r="AR10" s="82">
        <f t="shared" si="9"/>
        <v>2.0666666666666669</v>
      </c>
      <c r="AS10" s="82">
        <f t="shared" si="10"/>
        <v>20.933333333333334</v>
      </c>
      <c r="AT10" s="82">
        <f t="shared" si="11"/>
        <v>51</v>
      </c>
      <c r="AU10" s="82">
        <f t="shared" si="12"/>
        <v>0</v>
      </c>
      <c r="AV10" s="82">
        <f t="shared" si="13"/>
        <v>0</v>
      </c>
      <c r="AW10" s="82">
        <f t="shared" si="14"/>
        <v>74</v>
      </c>
    </row>
    <row r="11" spans="1:49" ht="20.25" customHeight="1" x14ac:dyDescent="0.3">
      <c r="A11" s="83" t="s">
        <v>40</v>
      </c>
      <c r="B11" s="83" t="s">
        <v>5</v>
      </c>
      <c r="C11" s="84">
        <v>4</v>
      </c>
      <c r="D11" s="84">
        <v>50.93333333333333</v>
      </c>
      <c r="E11" s="84">
        <v>60</v>
      </c>
      <c r="F11" s="84"/>
      <c r="G11" s="84"/>
      <c r="H11" s="84">
        <v>115</v>
      </c>
      <c r="I11" s="84">
        <v>5</v>
      </c>
      <c r="J11" s="84">
        <v>4.5333333333333332</v>
      </c>
      <c r="K11" s="84">
        <v>9.4666666666666668</v>
      </c>
      <c r="L11" s="84">
        <v>18</v>
      </c>
      <c r="M11" s="84"/>
      <c r="N11" s="84"/>
      <c r="O11" s="84"/>
      <c r="P11" s="84"/>
      <c r="Q11" s="84"/>
      <c r="R11" s="84">
        <f t="shared" si="2"/>
        <v>142.46666666666667</v>
      </c>
      <c r="S11" s="85">
        <v>7</v>
      </c>
      <c r="T11" s="85">
        <v>44.93333333333333</v>
      </c>
      <c r="U11" s="85">
        <v>48</v>
      </c>
      <c r="V11" s="85"/>
      <c r="W11" s="85"/>
      <c r="X11" s="85">
        <v>100</v>
      </c>
      <c r="Y11" s="85">
        <v>5</v>
      </c>
      <c r="Z11" s="85">
        <v>4.5333333333333332</v>
      </c>
      <c r="AA11" s="85">
        <v>9.4666666666666668</v>
      </c>
      <c r="AB11" s="85">
        <v>24</v>
      </c>
      <c r="AC11" s="85"/>
      <c r="AD11" s="85"/>
      <c r="AE11" s="85"/>
      <c r="AF11" s="85"/>
      <c r="AG11" s="85"/>
      <c r="AH11" s="85">
        <f t="shared" si="3"/>
        <v>133.46666666666667</v>
      </c>
      <c r="AI11" s="86">
        <f t="shared" si="0"/>
        <v>-3</v>
      </c>
      <c r="AJ11" s="86">
        <f>SUM(AI11:AI13)</f>
        <v>16.06666666666667</v>
      </c>
      <c r="AL11" s="81">
        <f t="shared" si="4"/>
        <v>9</v>
      </c>
      <c r="AM11" s="81">
        <f t="shared" si="5"/>
        <v>73.466666666666669</v>
      </c>
      <c r="AN11" s="81">
        <f t="shared" si="6"/>
        <v>60</v>
      </c>
      <c r="AO11" s="81">
        <f t="shared" si="7"/>
        <v>0</v>
      </c>
      <c r="AP11" s="81">
        <f t="shared" si="8"/>
        <v>0</v>
      </c>
      <c r="AQ11" s="81">
        <f t="shared" si="1"/>
        <v>142.46666666666667</v>
      </c>
      <c r="AR11" s="82">
        <f t="shared" si="9"/>
        <v>12</v>
      </c>
      <c r="AS11" s="82">
        <f t="shared" si="10"/>
        <v>73.466666666666669</v>
      </c>
      <c r="AT11" s="82">
        <f t="shared" si="11"/>
        <v>48</v>
      </c>
      <c r="AU11" s="82">
        <f t="shared" si="12"/>
        <v>0</v>
      </c>
      <c r="AV11" s="82">
        <f t="shared" si="13"/>
        <v>0</v>
      </c>
      <c r="AW11" s="82">
        <f t="shared" si="14"/>
        <v>133.46666666666667</v>
      </c>
    </row>
    <row r="12" spans="1:49" ht="20.25" customHeight="1" x14ac:dyDescent="0.3">
      <c r="A12" s="83"/>
      <c r="B12" s="83" t="s">
        <v>6</v>
      </c>
      <c r="C12" s="84">
        <v>19.533333333333335</v>
      </c>
      <c r="D12" s="84">
        <v>14</v>
      </c>
      <c r="E12" s="84">
        <v>75.533333333333331</v>
      </c>
      <c r="F12" s="84"/>
      <c r="G12" s="84"/>
      <c r="H12" s="84">
        <v>109</v>
      </c>
      <c r="I12" s="84"/>
      <c r="J12" s="84"/>
      <c r="K12" s="84"/>
      <c r="L12" s="84">
        <v>4</v>
      </c>
      <c r="M12" s="84"/>
      <c r="N12" s="84"/>
      <c r="O12" s="84"/>
      <c r="P12" s="84"/>
      <c r="Q12" s="84"/>
      <c r="R12" s="84">
        <f t="shared" si="2"/>
        <v>113</v>
      </c>
      <c r="S12" s="85">
        <v>6</v>
      </c>
      <c r="T12" s="85">
        <v>23.466666666666665</v>
      </c>
      <c r="U12" s="85">
        <v>87.533333333333331</v>
      </c>
      <c r="V12" s="85"/>
      <c r="W12" s="85"/>
      <c r="X12" s="85">
        <v>117</v>
      </c>
      <c r="Y12" s="85"/>
      <c r="Z12" s="85"/>
      <c r="AA12" s="85"/>
      <c r="AB12" s="85">
        <v>16</v>
      </c>
      <c r="AC12" s="85"/>
      <c r="AD12" s="85"/>
      <c r="AE12" s="85"/>
      <c r="AF12" s="85"/>
      <c r="AG12" s="85"/>
      <c r="AH12" s="85">
        <f t="shared" si="3"/>
        <v>133</v>
      </c>
      <c r="AI12" s="86">
        <f t="shared" si="0"/>
        <v>13.533333333333335</v>
      </c>
      <c r="AJ12" s="86"/>
      <c r="AL12" s="81">
        <f t="shared" si="4"/>
        <v>19.533333333333335</v>
      </c>
      <c r="AM12" s="81">
        <f t="shared" si="5"/>
        <v>18</v>
      </c>
      <c r="AN12" s="81">
        <f t="shared" si="6"/>
        <v>75.533333333333331</v>
      </c>
      <c r="AO12" s="81">
        <f t="shared" si="7"/>
        <v>0</v>
      </c>
      <c r="AP12" s="81">
        <f t="shared" si="8"/>
        <v>0</v>
      </c>
      <c r="AQ12" s="81">
        <f t="shared" si="1"/>
        <v>113.06666666666666</v>
      </c>
      <c r="AR12" s="82">
        <f t="shared" si="9"/>
        <v>6</v>
      </c>
      <c r="AS12" s="82">
        <f t="shared" si="10"/>
        <v>39.466666666666669</v>
      </c>
      <c r="AT12" s="82">
        <f t="shared" si="11"/>
        <v>87.533333333333331</v>
      </c>
      <c r="AU12" s="82">
        <f t="shared" si="12"/>
        <v>0</v>
      </c>
      <c r="AV12" s="82">
        <f t="shared" si="13"/>
        <v>0</v>
      </c>
      <c r="AW12" s="82">
        <f t="shared" si="14"/>
        <v>133</v>
      </c>
    </row>
    <row r="13" spans="1:49" ht="20.25" customHeight="1" x14ac:dyDescent="0.3">
      <c r="A13" s="83"/>
      <c r="B13" s="83" t="s">
        <v>7</v>
      </c>
      <c r="C13" s="84">
        <v>9.5333333333333332</v>
      </c>
      <c r="D13" s="84">
        <v>28</v>
      </c>
      <c r="E13" s="84">
        <v>56</v>
      </c>
      <c r="F13" s="84"/>
      <c r="G13" s="84">
        <v>0</v>
      </c>
      <c r="H13" s="84">
        <v>93.533333333333331</v>
      </c>
      <c r="I13" s="84"/>
      <c r="J13" s="84"/>
      <c r="K13" s="84"/>
      <c r="L13" s="84">
        <v>0</v>
      </c>
      <c r="M13" s="84"/>
      <c r="N13" s="84"/>
      <c r="O13" s="84"/>
      <c r="P13" s="84"/>
      <c r="Q13" s="84"/>
      <c r="R13" s="84">
        <f t="shared" si="2"/>
        <v>93.533333333333331</v>
      </c>
      <c r="S13" s="85">
        <v>4</v>
      </c>
      <c r="T13" s="85">
        <v>23.533333333333335</v>
      </c>
      <c r="U13" s="85">
        <v>60</v>
      </c>
      <c r="V13" s="85"/>
      <c r="W13" s="85">
        <v>0</v>
      </c>
      <c r="X13" s="85">
        <v>87.533333333333331</v>
      </c>
      <c r="Y13" s="85"/>
      <c r="Z13" s="85"/>
      <c r="AA13" s="85"/>
      <c r="AB13" s="85">
        <v>0</v>
      </c>
      <c r="AC13" s="85"/>
      <c r="AD13" s="85"/>
      <c r="AE13" s="85"/>
      <c r="AF13" s="85"/>
      <c r="AG13" s="85"/>
      <c r="AH13" s="85">
        <f t="shared" si="3"/>
        <v>87.533333333333331</v>
      </c>
      <c r="AI13" s="86">
        <f t="shared" si="0"/>
        <v>5.5333333333333332</v>
      </c>
      <c r="AJ13" s="86"/>
      <c r="AL13" s="81">
        <f t="shared" si="4"/>
        <v>9.5333333333333332</v>
      </c>
      <c r="AM13" s="81">
        <f t="shared" si="5"/>
        <v>28</v>
      </c>
      <c r="AN13" s="81">
        <f t="shared" si="6"/>
        <v>56</v>
      </c>
      <c r="AO13" s="81">
        <f t="shared" si="7"/>
        <v>0</v>
      </c>
      <c r="AP13" s="81">
        <f t="shared" si="8"/>
        <v>0</v>
      </c>
      <c r="AQ13" s="81">
        <f t="shared" si="1"/>
        <v>93.533333333333331</v>
      </c>
      <c r="AR13" s="82">
        <f t="shared" si="9"/>
        <v>4</v>
      </c>
      <c r="AS13" s="82">
        <f t="shared" si="10"/>
        <v>23.533333333333335</v>
      </c>
      <c r="AT13" s="82">
        <f t="shared" si="11"/>
        <v>60</v>
      </c>
      <c r="AU13" s="82">
        <f t="shared" si="12"/>
        <v>0</v>
      </c>
      <c r="AV13" s="82">
        <f t="shared" si="13"/>
        <v>0</v>
      </c>
      <c r="AW13" s="82">
        <f t="shared" si="14"/>
        <v>87.533333333333331</v>
      </c>
    </row>
    <row r="14" spans="1:49" ht="20.25" customHeight="1" x14ac:dyDescent="0.3">
      <c r="A14" s="83" t="s">
        <v>94</v>
      </c>
      <c r="B14" s="83" t="s">
        <v>5</v>
      </c>
      <c r="C14" s="84">
        <v>0</v>
      </c>
      <c r="D14" s="84">
        <v>0</v>
      </c>
      <c r="E14" s="84">
        <v>0</v>
      </c>
      <c r="F14" s="84"/>
      <c r="G14" s="84"/>
      <c r="H14" s="84">
        <v>0</v>
      </c>
      <c r="I14" s="84">
        <v>0</v>
      </c>
      <c r="J14" s="84">
        <v>0</v>
      </c>
      <c r="K14" s="84">
        <v>0</v>
      </c>
      <c r="L14" s="84">
        <v>0</v>
      </c>
      <c r="M14" s="84"/>
      <c r="N14" s="84"/>
      <c r="O14" s="84"/>
      <c r="P14" s="84"/>
      <c r="Q14" s="84"/>
      <c r="R14" s="84">
        <f t="shared" si="2"/>
        <v>0</v>
      </c>
      <c r="S14" s="85">
        <v>0</v>
      </c>
      <c r="T14" s="85">
        <v>0</v>
      </c>
      <c r="U14" s="85">
        <v>0</v>
      </c>
      <c r="V14" s="85"/>
      <c r="W14" s="85"/>
      <c r="X14" s="85">
        <v>0</v>
      </c>
      <c r="Y14" s="85">
        <v>0</v>
      </c>
      <c r="Z14" s="85">
        <v>0</v>
      </c>
      <c r="AA14" s="85">
        <v>0</v>
      </c>
      <c r="AB14" s="85">
        <v>0</v>
      </c>
      <c r="AC14" s="85"/>
      <c r="AD14" s="85"/>
      <c r="AE14" s="85"/>
      <c r="AF14" s="85"/>
      <c r="AG14" s="85"/>
      <c r="AH14" s="85">
        <f t="shared" si="3"/>
        <v>0</v>
      </c>
      <c r="AI14" s="86">
        <f t="shared" si="0"/>
        <v>0</v>
      </c>
      <c r="AJ14" s="86">
        <f>SUM(AI14:AI16)</f>
        <v>0</v>
      </c>
      <c r="AL14" s="81">
        <f t="shared" si="4"/>
        <v>0</v>
      </c>
      <c r="AM14" s="81">
        <f t="shared" si="5"/>
        <v>0</v>
      </c>
      <c r="AN14" s="81">
        <f t="shared" si="6"/>
        <v>0</v>
      </c>
      <c r="AO14" s="81">
        <f t="shared" si="7"/>
        <v>0</v>
      </c>
      <c r="AP14" s="81">
        <f t="shared" si="8"/>
        <v>0</v>
      </c>
      <c r="AQ14" s="81">
        <f t="shared" si="1"/>
        <v>0</v>
      </c>
      <c r="AR14" s="82">
        <f t="shared" si="9"/>
        <v>0</v>
      </c>
      <c r="AS14" s="82">
        <f t="shared" si="10"/>
        <v>0</v>
      </c>
      <c r="AT14" s="82">
        <f t="shared" si="11"/>
        <v>0</v>
      </c>
      <c r="AU14" s="82">
        <f t="shared" si="12"/>
        <v>0</v>
      </c>
      <c r="AV14" s="82">
        <f t="shared" si="13"/>
        <v>0</v>
      </c>
      <c r="AW14" s="82">
        <f t="shared" si="14"/>
        <v>0</v>
      </c>
    </row>
    <row r="15" spans="1:49" ht="20.25" customHeight="1" x14ac:dyDescent="0.3">
      <c r="A15" s="83"/>
      <c r="B15" s="83" t="s">
        <v>6</v>
      </c>
      <c r="C15" s="84">
        <v>0</v>
      </c>
      <c r="D15" s="84">
        <v>0</v>
      </c>
      <c r="E15" s="84">
        <v>0</v>
      </c>
      <c r="F15" s="84"/>
      <c r="G15" s="84"/>
      <c r="H15" s="84">
        <v>0</v>
      </c>
      <c r="I15" s="84"/>
      <c r="J15" s="84"/>
      <c r="K15" s="84"/>
      <c r="L15" s="84">
        <v>0</v>
      </c>
      <c r="M15" s="84"/>
      <c r="N15" s="84"/>
      <c r="O15" s="84"/>
      <c r="P15" s="84"/>
      <c r="Q15" s="84"/>
      <c r="R15" s="84">
        <f t="shared" si="2"/>
        <v>0</v>
      </c>
      <c r="S15" s="85">
        <v>0</v>
      </c>
      <c r="T15" s="85">
        <v>0</v>
      </c>
      <c r="U15" s="85">
        <v>0</v>
      </c>
      <c r="V15" s="85"/>
      <c r="W15" s="85"/>
      <c r="X15" s="85">
        <v>0</v>
      </c>
      <c r="Y15" s="85"/>
      <c r="Z15" s="85"/>
      <c r="AA15" s="85"/>
      <c r="AB15" s="85">
        <v>0</v>
      </c>
      <c r="AC15" s="85"/>
      <c r="AD15" s="85"/>
      <c r="AE15" s="85"/>
      <c r="AF15" s="85"/>
      <c r="AG15" s="85"/>
      <c r="AH15" s="85">
        <f t="shared" si="3"/>
        <v>0</v>
      </c>
      <c r="AI15" s="86">
        <f t="shared" si="0"/>
        <v>0</v>
      </c>
      <c r="AJ15" s="86"/>
      <c r="AL15" s="81">
        <f t="shared" si="4"/>
        <v>0</v>
      </c>
      <c r="AM15" s="81">
        <f t="shared" si="5"/>
        <v>0</v>
      </c>
      <c r="AN15" s="81">
        <f t="shared" si="6"/>
        <v>0</v>
      </c>
      <c r="AO15" s="81">
        <f t="shared" si="7"/>
        <v>0</v>
      </c>
      <c r="AP15" s="81">
        <f t="shared" si="8"/>
        <v>0</v>
      </c>
      <c r="AQ15" s="81">
        <f t="shared" si="1"/>
        <v>0</v>
      </c>
      <c r="AR15" s="82">
        <f t="shared" si="9"/>
        <v>0</v>
      </c>
      <c r="AS15" s="82">
        <f t="shared" si="10"/>
        <v>0</v>
      </c>
      <c r="AT15" s="82">
        <f t="shared" si="11"/>
        <v>0</v>
      </c>
      <c r="AU15" s="82">
        <f t="shared" si="12"/>
        <v>0</v>
      </c>
      <c r="AV15" s="82">
        <f t="shared" si="13"/>
        <v>0</v>
      </c>
      <c r="AW15" s="82">
        <f t="shared" si="14"/>
        <v>0</v>
      </c>
    </row>
    <row r="16" spans="1:49" ht="20.25" customHeight="1" x14ac:dyDescent="0.3">
      <c r="A16" s="83"/>
      <c r="B16" s="83" t="s">
        <v>7</v>
      </c>
      <c r="C16" s="84">
        <v>0</v>
      </c>
      <c r="D16" s="84">
        <v>0</v>
      </c>
      <c r="E16" s="84">
        <v>0</v>
      </c>
      <c r="F16" s="84">
        <v>0</v>
      </c>
      <c r="G16" s="84">
        <v>0</v>
      </c>
      <c r="H16" s="84">
        <v>0</v>
      </c>
      <c r="I16" s="84"/>
      <c r="J16" s="84"/>
      <c r="K16" s="84"/>
      <c r="L16" s="84">
        <v>0</v>
      </c>
      <c r="M16" s="84"/>
      <c r="N16" s="84"/>
      <c r="O16" s="84"/>
      <c r="P16" s="84"/>
      <c r="Q16" s="84"/>
      <c r="R16" s="84">
        <f t="shared" si="2"/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/>
      <c r="Z16" s="85"/>
      <c r="AA16" s="85"/>
      <c r="AB16" s="85">
        <v>0</v>
      </c>
      <c r="AC16" s="85"/>
      <c r="AD16" s="85"/>
      <c r="AE16" s="85"/>
      <c r="AF16" s="85"/>
      <c r="AG16" s="85"/>
      <c r="AH16" s="85">
        <f t="shared" si="3"/>
        <v>0</v>
      </c>
      <c r="AI16" s="86">
        <f t="shared" si="0"/>
        <v>0</v>
      </c>
      <c r="AJ16" s="86"/>
      <c r="AL16" s="81">
        <f t="shared" si="4"/>
        <v>0</v>
      </c>
      <c r="AM16" s="81">
        <f t="shared" si="5"/>
        <v>0</v>
      </c>
      <c r="AN16" s="81">
        <f t="shared" si="6"/>
        <v>0</v>
      </c>
      <c r="AO16" s="81">
        <f t="shared" si="7"/>
        <v>0</v>
      </c>
      <c r="AP16" s="81">
        <f>G16</f>
        <v>0</v>
      </c>
      <c r="AQ16" s="81">
        <f t="shared" si="1"/>
        <v>0</v>
      </c>
      <c r="AR16" s="82">
        <f t="shared" si="9"/>
        <v>0</v>
      </c>
      <c r="AS16" s="82">
        <f t="shared" si="10"/>
        <v>0</v>
      </c>
      <c r="AT16" s="82">
        <f t="shared" si="11"/>
        <v>0</v>
      </c>
      <c r="AU16" s="82">
        <f t="shared" si="12"/>
        <v>0</v>
      </c>
      <c r="AV16" s="82">
        <f t="shared" si="13"/>
        <v>0</v>
      </c>
      <c r="AW16" s="82">
        <f t="shared" si="14"/>
        <v>0</v>
      </c>
    </row>
    <row r="17" spans="1:49" ht="20.25" customHeight="1" x14ac:dyDescent="0.3">
      <c r="A17" s="83" t="s">
        <v>37</v>
      </c>
      <c r="B17" s="83" t="s">
        <v>5</v>
      </c>
      <c r="C17" s="84">
        <v>0</v>
      </c>
      <c r="D17" s="84">
        <v>71</v>
      </c>
      <c r="E17" s="84">
        <v>3</v>
      </c>
      <c r="F17" s="84"/>
      <c r="G17" s="84"/>
      <c r="H17" s="84">
        <v>74</v>
      </c>
      <c r="I17" s="84">
        <v>0</v>
      </c>
      <c r="J17" s="84">
        <v>0</v>
      </c>
      <c r="K17" s="84">
        <v>0</v>
      </c>
      <c r="L17" s="84">
        <v>12</v>
      </c>
      <c r="M17" s="84"/>
      <c r="N17" s="84"/>
      <c r="O17" s="84"/>
      <c r="P17" s="84"/>
      <c r="Q17" s="84"/>
      <c r="R17" s="84">
        <f t="shared" si="2"/>
        <v>86</v>
      </c>
      <c r="S17" s="85">
        <v>2</v>
      </c>
      <c r="T17" s="85">
        <v>61</v>
      </c>
      <c r="U17" s="85">
        <v>9</v>
      </c>
      <c r="V17" s="85"/>
      <c r="W17" s="85"/>
      <c r="X17" s="85">
        <v>72</v>
      </c>
      <c r="Y17" s="85">
        <v>0</v>
      </c>
      <c r="Z17" s="85">
        <v>0</v>
      </c>
      <c r="AA17" s="85">
        <v>0</v>
      </c>
      <c r="AB17" s="85">
        <v>12</v>
      </c>
      <c r="AC17" s="85"/>
      <c r="AD17" s="85"/>
      <c r="AE17" s="85"/>
      <c r="AF17" s="85"/>
      <c r="AG17" s="85"/>
      <c r="AH17" s="85">
        <f t="shared" si="3"/>
        <v>84</v>
      </c>
      <c r="AI17" s="86">
        <f t="shared" si="0"/>
        <v>-2</v>
      </c>
      <c r="AJ17" s="86">
        <f>SUM(AI17:AI19)</f>
        <v>-5</v>
      </c>
      <c r="AL17" s="81">
        <f t="shared" si="4"/>
        <v>0</v>
      </c>
      <c r="AM17" s="81">
        <f t="shared" si="5"/>
        <v>83</v>
      </c>
      <c r="AN17" s="81">
        <f t="shared" si="6"/>
        <v>3</v>
      </c>
      <c r="AO17" s="81">
        <f t="shared" si="7"/>
        <v>0</v>
      </c>
      <c r="AP17" s="81">
        <f t="shared" si="8"/>
        <v>0</v>
      </c>
      <c r="AQ17" s="81">
        <f t="shared" si="1"/>
        <v>86</v>
      </c>
      <c r="AR17" s="82">
        <f t="shared" si="9"/>
        <v>2</v>
      </c>
      <c r="AS17" s="82">
        <f t="shared" si="10"/>
        <v>73</v>
      </c>
      <c r="AT17" s="82">
        <f t="shared" si="11"/>
        <v>9</v>
      </c>
      <c r="AU17" s="82">
        <f t="shared" si="12"/>
        <v>0</v>
      </c>
      <c r="AV17" s="82">
        <f t="shared" si="13"/>
        <v>0</v>
      </c>
      <c r="AW17" s="82">
        <f t="shared" si="14"/>
        <v>84</v>
      </c>
    </row>
    <row r="18" spans="1:49" ht="20.25" customHeight="1" x14ac:dyDescent="0.3">
      <c r="A18" s="83"/>
      <c r="B18" s="83" t="s">
        <v>6</v>
      </c>
      <c r="C18" s="84">
        <v>2</v>
      </c>
      <c r="D18" s="84">
        <v>95</v>
      </c>
      <c r="E18" s="84">
        <v>15</v>
      </c>
      <c r="F18" s="84"/>
      <c r="G18" s="84"/>
      <c r="H18" s="84">
        <v>111.93333333333334</v>
      </c>
      <c r="I18" s="84"/>
      <c r="J18" s="84"/>
      <c r="K18" s="84"/>
      <c r="L18" s="84">
        <v>0</v>
      </c>
      <c r="M18" s="84"/>
      <c r="N18" s="84"/>
      <c r="O18" s="84"/>
      <c r="P18" s="84"/>
      <c r="Q18" s="84"/>
      <c r="R18" s="84">
        <f t="shared" si="2"/>
        <v>111.93333333333334</v>
      </c>
      <c r="S18" s="85">
        <v>2</v>
      </c>
      <c r="T18" s="85">
        <v>84</v>
      </c>
      <c r="U18" s="85">
        <v>9</v>
      </c>
      <c r="V18" s="85"/>
      <c r="W18" s="85"/>
      <c r="X18" s="85">
        <v>95</v>
      </c>
      <c r="Y18" s="85"/>
      <c r="Z18" s="85"/>
      <c r="AA18" s="85"/>
      <c r="AB18" s="85">
        <v>6</v>
      </c>
      <c r="AC18" s="85"/>
      <c r="AD18" s="85"/>
      <c r="AE18" s="85"/>
      <c r="AF18" s="85"/>
      <c r="AG18" s="85"/>
      <c r="AH18" s="85">
        <f t="shared" si="3"/>
        <v>101</v>
      </c>
      <c r="AI18" s="86">
        <f t="shared" si="0"/>
        <v>0</v>
      </c>
      <c r="AJ18" s="86"/>
      <c r="AL18" s="81">
        <f t="shared" si="4"/>
        <v>2</v>
      </c>
      <c r="AM18" s="81">
        <f t="shared" si="5"/>
        <v>95</v>
      </c>
      <c r="AN18" s="81">
        <f t="shared" si="6"/>
        <v>15</v>
      </c>
      <c r="AO18" s="81">
        <f t="shared" si="7"/>
        <v>0</v>
      </c>
      <c r="AP18" s="81">
        <f t="shared" si="8"/>
        <v>0</v>
      </c>
      <c r="AQ18" s="81">
        <f t="shared" si="1"/>
        <v>112</v>
      </c>
      <c r="AR18" s="82">
        <f t="shared" si="9"/>
        <v>2</v>
      </c>
      <c r="AS18" s="82">
        <f t="shared" si="10"/>
        <v>90</v>
      </c>
      <c r="AT18" s="82">
        <f t="shared" si="11"/>
        <v>9</v>
      </c>
      <c r="AU18" s="82">
        <f t="shared" si="12"/>
        <v>0</v>
      </c>
      <c r="AV18" s="82">
        <f t="shared" si="13"/>
        <v>0</v>
      </c>
      <c r="AW18" s="82">
        <f t="shared" si="14"/>
        <v>101</v>
      </c>
    </row>
    <row r="19" spans="1:49" ht="20.25" customHeight="1" x14ac:dyDescent="0.3">
      <c r="A19" s="83"/>
      <c r="B19" s="83" t="s">
        <v>7</v>
      </c>
      <c r="C19" s="84">
        <v>0</v>
      </c>
      <c r="D19" s="84">
        <v>95</v>
      </c>
      <c r="E19" s="84">
        <v>0</v>
      </c>
      <c r="F19" s="84">
        <v>0</v>
      </c>
      <c r="G19" s="84"/>
      <c r="H19" s="84">
        <v>95</v>
      </c>
      <c r="I19" s="84"/>
      <c r="J19" s="84"/>
      <c r="K19" s="84"/>
      <c r="L19" s="84">
        <v>0</v>
      </c>
      <c r="M19" s="84"/>
      <c r="N19" s="84"/>
      <c r="O19" s="84"/>
      <c r="P19" s="84"/>
      <c r="Q19" s="84"/>
      <c r="R19" s="84">
        <f t="shared" si="2"/>
        <v>95</v>
      </c>
      <c r="S19" s="85">
        <v>3</v>
      </c>
      <c r="T19" s="85">
        <v>26</v>
      </c>
      <c r="U19" s="85">
        <v>16</v>
      </c>
      <c r="V19" s="85">
        <v>0</v>
      </c>
      <c r="W19" s="85"/>
      <c r="X19" s="85">
        <v>45</v>
      </c>
      <c r="Y19" s="85"/>
      <c r="Z19" s="85"/>
      <c r="AA19" s="85"/>
      <c r="AB19" s="85">
        <v>0</v>
      </c>
      <c r="AC19" s="85"/>
      <c r="AD19" s="85"/>
      <c r="AE19" s="85"/>
      <c r="AF19" s="85"/>
      <c r="AG19" s="85"/>
      <c r="AH19" s="85">
        <f t="shared" si="3"/>
        <v>45</v>
      </c>
      <c r="AI19" s="86">
        <f t="shared" si="0"/>
        <v>-3</v>
      </c>
      <c r="AJ19" s="86"/>
      <c r="AL19" s="81">
        <f t="shared" si="4"/>
        <v>0</v>
      </c>
      <c r="AM19" s="81">
        <f t="shared" si="5"/>
        <v>95</v>
      </c>
      <c r="AN19" s="81">
        <f t="shared" si="6"/>
        <v>0</v>
      </c>
      <c r="AO19" s="81">
        <f t="shared" si="7"/>
        <v>0</v>
      </c>
      <c r="AP19" s="81">
        <f t="shared" si="8"/>
        <v>0</v>
      </c>
      <c r="AQ19" s="81">
        <f t="shared" si="1"/>
        <v>95</v>
      </c>
      <c r="AR19" s="82">
        <f t="shared" si="9"/>
        <v>3</v>
      </c>
      <c r="AS19" s="82">
        <f t="shared" si="10"/>
        <v>26</v>
      </c>
      <c r="AT19" s="82">
        <f t="shared" si="11"/>
        <v>16</v>
      </c>
      <c r="AU19" s="82">
        <f t="shared" si="12"/>
        <v>0</v>
      </c>
      <c r="AV19" s="82">
        <f t="shared" si="13"/>
        <v>0</v>
      </c>
      <c r="AW19" s="82">
        <f t="shared" si="14"/>
        <v>45</v>
      </c>
    </row>
    <row r="20" spans="1:49" ht="20.25" customHeight="1" x14ac:dyDescent="0.3">
      <c r="A20" s="83" t="s">
        <v>17</v>
      </c>
      <c r="B20" s="83" t="s">
        <v>5</v>
      </c>
      <c r="C20" s="84">
        <v>0</v>
      </c>
      <c r="D20" s="84">
        <v>46</v>
      </c>
      <c r="E20" s="84">
        <v>45.06666666666667</v>
      </c>
      <c r="F20" s="84"/>
      <c r="G20" s="84"/>
      <c r="H20" s="84">
        <v>91</v>
      </c>
      <c r="I20" s="84">
        <v>5</v>
      </c>
      <c r="J20" s="84">
        <v>4.5333333333333332</v>
      </c>
      <c r="K20" s="84">
        <v>9.4666666666666668</v>
      </c>
      <c r="L20" s="84">
        <v>14</v>
      </c>
      <c r="M20" s="84">
        <v>2</v>
      </c>
      <c r="N20" s="84">
        <v>4</v>
      </c>
      <c r="O20" s="84">
        <v>0</v>
      </c>
      <c r="P20" s="84"/>
      <c r="Q20" s="84">
        <v>6</v>
      </c>
      <c r="R20" s="84">
        <f t="shared" si="2"/>
        <v>120.46666666666667</v>
      </c>
      <c r="S20" s="85">
        <v>0</v>
      </c>
      <c r="T20" s="85">
        <v>42</v>
      </c>
      <c r="U20" s="85">
        <v>42</v>
      </c>
      <c r="V20" s="85"/>
      <c r="W20" s="85"/>
      <c r="X20" s="85">
        <v>84</v>
      </c>
      <c r="Y20" s="85">
        <v>2.5333333333333332</v>
      </c>
      <c r="Z20" s="85">
        <v>3</v>
      </c>
      <c r="AA20" s="85">
        <v>5.4666666666666668</v>
      </c>
      <c r="AB20" s="85">
        <v>16</v>
      </c>
      <c r="AC20" s="85">
        <v>4</v>
      </c>
      <c r="AD20" s="85">
        <v>6</v>
      </c>
      <c r="AE20" s="85">
        <v>0</v>
      </c>
      <c r="AF20" s="85"/>
      <c r="AG20" s="85">
        <v>10</v>
      </c>
      <c r="AH20" s="85">
        <f t="shared" si="3"/>
        <v>115.46666666666667</v>
      </c>
      <c r="AI20" s="86">
        <f t="shared" si="0"/>
        <v>0</v>
      </c>
      <c r="AJ20" s="86">
        <f>SUM(AI20:AI22)</f>
        <v>0</v>
      </c>
      <c r="AL20" s="81">
        <f t="shared" si="4"/>
        <v>7</v>
      </c>
      <c r="AM20" s="81">
        <f t="shared" si="5"/>
        <v>68.533333333333331</v>
      </c>
      <c r="AN20" s="81">
        <f t="shared" si="6"/>
        <v>45.06666666666667</v>
      </c>
      <c r="AO20" s="81">
        <f t="shared" si="7"/>
        <v>0</v>
      </c>
      <c r="AP20" s="81">
        <f t="shared" si="8"/>
        <v>0</v>
      </c>
      <c r="AQ20" s="81">
        <f t="shared" si="1"/>
        <v>120.6</v>
      </c>
      <c r="AR20" s="82">
        <f t="shared" si="9"/>
        <v>6.5333333333333332</v>
      </c>
      <c r="AS20" s="82">
        <f t="shared" si="10"/>
        <v>67</v>
      </c>
      <c r="AT20" s="82">
        <f t="shared" si="11"/>
        <v>42</v>
      </c>
      <c r="AU20" s="82">
        <f t="shared" si="12"/>
        <v>0</v>
      </c>
      <c r="AV20" s="82">
        <f t="shared" si="13"/>
        <v>0</v>
      </c>
      <c r="AW20" s="82">
        <f t="shared" si="14"/>
        <v>115.53333333333333</v>
      </c>
    </row>
    <row r="21" spans="1:49" ht="20.25" customHeight="1" x14ac:dyDescent="0.3">
      <c r="A21" s="83"/>
      <c r="B21" s="83" t="s">
        <v>6</v>
      </c>
      <c r="C21" s="84">
        <v>0</v>
      </c>
      <c r="D21" s="84">
        <v>46</v>
      </c>
      <c r="E21" s="84">
        <v>47</v>
      </c>
      <c r="F21" s="84"/>
      <c r="G21" s="84"/>
      <c r="H21" s="84">
        <v>93</v>
      </c>
      <c r="I21" s="84">
        <v>0</v>
      </c>
      <c r="J21" s="84">
        <v>9</v>
      </c>
      <c r="K21" s="87">
        <v>9</v>
      </c>
      <c r="L21" s="84">
        <v>14</v>
      </c>
      <c r="M21" s="84">
        <v>0</v>
      </c>
      <c r="N21" s="84">
        <v>0</v>
      </c>
      <c r="O21" s="84">
        <v>0</v>
      </c>
      <c r="P21" s="84"/>
      <c r="Q21" s="84">
        <v>0</v>
      </c>
      <c r="R21" s="84">
        <f t="shared" si="2"/>
        <v>116</v>
      </c>
      <c r="S21" s="85">
        <v>0</v>
      </c>
      <c r="T21" s="85">
        <v>44</v>
      </c>
      <c r="U21" s="85">
        <v>48</v>
      </c>
      <c r="V21" s="85"/>
      <c r="W21" s="85"/>
      <c r="X21" s="85">
        <v>92</v>
      </c>
      <c r="Y21" s="85">
        <v>0</v>
      </c>
      <c r="Z21" s="85">
        <v>6</v>
      </c>
      <c r="AA21" s="85">
        <v>6</v>
      </c>
      <c r="AB21" s="85">
        <v>16</v>
      </c>
      <c r="AC21" s="85">
        <v>0</v>
      </c>
      <c r="AD21" s="85">
        <v>0</v>
      </c>
      <c r="AE21" s="85">
        <v>0</v>
      </c>
      <c r="AF21" s="85"/>
      <c r="AG21" s="85">
        <v>0</v>
      </c>
      <c r="AH21" s="85">
        <f t="shared" si="3"/>
        <v>114</v>
      </c>
      <c r="AI21" s="86">
        <f t="shared" si="0"/>
        <v>0</v>
      </c>
      <c r="AJ21" s="86"/>
      <c r="AL21" s="81">
        <f t="shared" si="4"/>
        <v>0</v>
      </c>
      <c r="AM21" s="81">
        <f t="shared" si="5"/>
        <v>69</v>
      </c>
      <c r="AN21" s="81">
        <f t="shared" si="6"/>
        <v>47</v>
      </c>
      <c r="AO21" s="81">
        <f t="shared" si="7"/>
        <v>0</v>
      </c>
      <c r="AP21" s="81">
        <f t="shared" si="8"/>
        <v>0</v>
      </c>
      <c r="AQ21" s="81">
        <f t="shared" si="1"/>
        <v>116</v>
      </c>
      <c r="AR21" s="82">
        <f t="shared" si="9"/>
        <v>0</v>
      </c>
      <c r="AS21" s="82">
        <f t="shared" si="10"/>
        <v>66</v>
      </c>
      <c r="AT21" s="82">
        <f t="shared" si="11"/>
        <v>48</v>
      </c>
      <c r="AU21" s="82">
        <f t="shared" si="12"/>
        <v>0</v>
      </c>
      <c r="AV21" s="82">
        <f t="shared" si="13"/>
        <v>0</v>
      </c>
      <c r="AW21" s="82">
        <f t="shared" si="14"/>
        <v>114</v>
      </c>
    </row>
    <row r="22" spans="1:49" ht="20.25" customHeight="1" x14ac:dyDescent="0.3">
      <c r="A22" s="83"/>
      <c r="B22" s="83" t="s">
        <v>7</v>
      </c>
      <c r="C22" s="84">
        <v>0.53333333333333333</v>
      </c>
      <c r="D22" s="84">
        <v>32</v>
      </c>
      <c r="E22" s="84">
        <v>34</v>
      </c>
      <c r="F22" s="84"/>
      <c r="G22" s="84">
        <v>0</v>
      </c>
      <c r="H22" s="84">
        <v>66.533333333333331</v>
      </c>
      <c r="I22" s="84">
        <v>0</v>
      </c>
      <c r="J22" s="84">
        <v>0</v>
      </c>
      <c r="K22" s="84">
        <v>0</v>
      </c>
      <c r="L22" s="84">
        <v>0</v>
      </c>
      <c r="M22" s="84">
        <v>6</v>
      </c>
      <c r="N22" s="84">
        <v>2</v>
      </c>
      <c r="O22" s="84">
        <v>0</v>
      </c>
      <c r="P22" s="84">
        <v>0</v>
      </c>
      <c r="Q22" s="84">
        <v>8</v>
      </c>
      <c r="R22" s="84">
        <f t="shared" si="2"/>
        <v>74.533333333333331</v>
      </c>
      <c r="S22" s="85">
        <v>0.53333333333333333</v>
      </c>
      <c r="T22" s="85">
        <v>25.466666666666665</v>
      </c>
      <c r="U22" s="85">
        <v>38</v>
      </c>
      <c r="V22" s="85"/>
      <c r="W22" s="85">
        <v>0</v>
      </c>
      <c r="X22" s="85">
        <v>64</v>
      </c>
      <c r="Y22" s="85">
        <v>0</v>
      </c>
      <c r="Z22" s="85">
        <v>0</v>
      </c>
      <c r="AA22" s="85">
        <v>0</v>
      </c>
      <c r="AB22" s="85">
        <v>0</v>
      </c>
      <c r="AC22" s="85">
        <v>0</v>
      </c>
      <c r="AD22" s="85">
        <v>2</v>
      </c>
      <c r="AE22" s="85">
        <v>0</v>
      </c>
      <c r="AF22" s="85">
        <v>0</v>
      </c>
      <c r="AG22" s="85">
        <v>2</v>
      </c>
      <c r="AH22" s="85">
        <f t="shared" si="3"/>
        <v>66</v>
      </c>
      <c r="AI22" s="86">
        <f t="shared" si="0"/>
        <v>0</v>
      </c>
      <c r="AJ22" s="86"/>
      <c r="AL22" s="81">
        <f t="shared" si="4"/>
        <v>6.5333333333333332</v>
      </c>
      <c r="AM22" s="81">
        <f t="shared" si="5"/>
        <v>34</v>
      </c>
      <c r="AN22" s="81">
        <f t="shared" si="6"/>
        <v>34</v>
      </c>
      <c r="AO22" s="81">
        <f t="shared" si="7"/>
        <v>0</v>
      </c>
      <c r="AP22" s="81">
        <f>G22+P22</f>
        <v>0</v>
      </c>
      <c r="AQ22" s="81">
        <f t="shared" si="1"/>
        <v>74.533333333333331</v>
      </c>
      <c r="AR22" s="82">
        <f t="shared" si="9"/>
        <v>0.53333333333333333</v>
      </c>
      <c r="AS22" s="82">
        <f t="shared" si="10"/>
        <v>27.466666666666665</v>
      </c>
      <c r="AT22" s="82">
        <f t="shared" si="11"/>
        <v>38</v>
      </c>
      <c r="AU22" s="82">
        <f t="shared" si="12"/>
        <v>0</v>
      </c>
      <c r="AV22" s="82">
        <f>W22+AF22</f>
        <v>0</v>
      </c>
      <c r="AW22" s="82">
        <f t="shared" si="14"/>
        <v>66</v>
      </c>
    </row>
    <row r="23" spans="1:49" ht="20.25" customHeight="1" x14ac:dyDescent="0.3">
      <c r="A23" s="83" t="s">
        <v>49</v>
      </c>
      <c r="B23" s="83" t="s">
        <v>5</v>
      </c>
      <c r="C23" s="84"/>
      <c r="D23" s="84"/>
      <c r="E23" s="84"/>
      <c r="F23" s="84"/>
      <c r="G23" s="84"/>
      <c r="H23" s="84">
        <v>0</v>
      </c>
      <c r="I23" s="84"/>
      <c r="J23" s="84"/>
      <c r="K23" s="84">
        <v>0</v>
      </c>
      <c r="L23" s="84">
        <v>0</v>
      </c>
      <c r="M23" s="84"/>
      <c r="N23" s="84"/>
      <c r="O23" s="84"/>
      <c r="P23" s="84"/>
      <c r="Q23" s="84"/>
      <c r="R23" s="84">
        <f t="shared" si="2"/>
        <v>0</v>
      </c>
      <c r="S23" s="85"/>
      <c r="T23" s="85"/>
      <c r="U23" s="85"/>
      <c r="V23" s="85"/>
      <c r="W23" s="85"/>
      <c r="X23" s="85">
        <v>0</v>
      </c>
      <c r="Y23" s="85"/>
      <c r="Z23" s="85"/>
      <c r="AA23" s="85">
        <v>0</v>
      </c>
      <c r="AB23" s="85">
        <v>0</v>
      </c>
      <c r="AC23" s="85"/>
      <c r="AD23" s="85"/>
      <c r="AE23" s="85"/>
      <c r="AF23" s="85"/>
      <c r="AG23" s="85"/>
      <c r="AH23" s="85">
        <f t="shared" si="3"/>
        <v>0</v>
      </c>
      <c r="AI23" s="86">
        <f t="shared" si="0"/>
        <v>0</v>
      </c>
      <c r="AJ23" s="86">
        <f>SUM(AI23:AI25)</f>
        <v>0</v>
      </c>
      <c r="AL23" s="81">
        <f t="shared" si="4"/>
        <v>0</v>
      </c>
      <c r="AM23" s="81">
        <f t="shared" si="5"/>
        <v>0</v>
      </c>
      <c r="AN23" s="81">
        <f t="shared" si="6"/>
        <v>0</v>
      </c>
      <c r="AO23" s="81">
        <f t="shared" si="7"/>
        <v>0</v>
      </c>
      <c r="AP23" s="81">
        <f t="shared" si="8"/>
        <v>0</v>
      </c>
      <c r="AQ23" s="81">
        <f t="shared" si="1"/>
        <v>0</v>
      </c>
      <c r="AR23" s="82">
        <f t="shared" si="9"/>
        <v>0</v>
      </c>
      <c r="AS23" s="82">
        <f t="shared" si="10"/>
        <v>0</v>
      </c>
      <c r="AT23" s="82">
        <f t="shared" si="11"/>
        <v>0</v>
      </c>
      <c r="AU23" s="82">
        <f t="shared" si="12"/>
        <v>0</v>
      </c>
      <c r="AV23" s="82">
        <f t="shared" si="13"/>
        <v>0</v>
      </c>
      <c r="AW23" s="82">
        <f>AH23</f>
        <v>0</v>
      </c>
    </row>
    <row r="24" spans="1:49" ht="20.25" customHeight="1" x14ac:dyDescent="0.3">
      <c r="A24" s="83"/>
      <c r="B24" s="83" t="s">
        <v>6</v>
      </c>
      <c r="C24" s="84"/>
      <c r="D24" s="84"/>
      <c r="E24" s="84"/>
      <c r="F24" s="84"/>
      <c r="G24" s="84"/>
      <c r="H24" s="84">
        <v>0</v>
      </c>
      <c r="I24" s="84"/>
      <c r="J24" s="84"/>
      <c r="K24" s="84"/>
      <c r="L24" s="84">
        <v>0</v>
      </c>
      <c r="M24" s="84"/>
      <c r="N24" s="84"/>
      <c r="O24" s="84"/>
      <c r="P24" s="84"/>
      <c r="Q24" s="84"/>
      <c r="R24" s="84">
        <f t="shared" si="2"/>
        <v>0</v>
      </c>
      <c r="S24" s="85"/>
      <c r="T24" s="85"/>
      <c r="U24" s="85"/>
      <c r="V24" s="85"/>
      <c r="W24" s="85"/>
      <c r="X24" s="85">
        <v>0</v>
      </c>
      <c r="Y24" s="85"/>
      <c r="Z24" s="85"/>
      <c r="AA24" s="85"/>
      <c r="AB24" s="85">
        <v>0</v>
      </c>
      <c r="AC24" s="85"/>
      <c r="AD24" s="85"/>
      <c r="AE24" s="85"/>
      <c r="AF24" s="85"/>
      <c r="AG24" s="85"/>
      <c r="AH24" s="85">
        <f t="shared" si="3"/>
        <v>0</v>
      </c>
      <c r="AI24" s="86">
        <f t="shared" si="0"/>
        <v>0</v>
      </c>
      <c r="AJ24" s="86"/>
      <c r="AL24" s="81">
        <f t="shared" si="4"/>
        <v>0</v>
      </c>
      <c r="AM24" s="81">
        <f t="shared" si="5"/>
        <v>0</v>
      </c>
      <c r="AN24" s="81">
        <f t="shared" si="6"/>
        <v>0</v>
      </c>
      <c r="AO24" s="81">
        <f t="shared" si="7"/>
        <v>0</v>
      </c>
      <c r="AP24" s="81">
        <f t="shared" si="8"/>
        <v>0</v>
      </c>
      <c r="AQ24" s="81">
        <f>R24</f>
        <v>0</v>
      </c>
      <c r="AR24" s="82">
        <f t="shared" si="9"/>
        <v>0</v>
      </c>
      <c r="AS24" s="82">
        <f t="shared" si="10"/>
        <v>0</v>
      </c>
      <c r="AT24" s="82">
        <f t="shared" si="11"/>
        <v>0</v>
      </c>
      <c r="AU24" s="82">
        <f t="shared" si="12"/>
        <v>0</v>
      </c>
      <c r="AV24" s="82">
        <f t="shared" si="13"/>
        <v>0</v>
      </c>
      <c r="AW24" s="82">
        <f t="shared" ref="AW24:AW34" si="15">AH24</f>
        <v>0</v>
      </c>
    </row>
    <row r="25" spans="1:49" ht="20.25" customHeight="1" x14ac:dyDescent="0.3">
      <c r="A25" s="83"/>
      <c r="B25" s="83" t="s">
        <v>7</v>
      </c>
      <c r="C25" s="84"/>
      <c r="D25" s="84"/>
      <c r="E25" s="84"/>
      <c r="F25" s="84"/>
      <c r="G25" s="84"/>
      <c r="H25" s="84">
        <v>0</v>
      </c>
      <c r="I25" s="84"/>
      <c r="J25" s="84"/>
      <c r="K25" s="84"/>
      <c r="L25" s="84">
        <v>0</v>
      </c>
      <c r="M25" s="84"/>
      <c r="N25" s="84"/>
      <c r="O25" s="84"/>
      <c r="P25" s="84"/>
      <c r="Q25" s="84"/>
      <c r="R25" s="84">
        <f t="shared" si="2"/>
        <v>0</v>
      </c>
      <c r="S25" s="85"/>
      <c r="T25" s="85"/>
      <c r="U25" s="85"/>
      <c r="V25" s="85"/>
      <c r="W25" s="85"/>
      <c r="X25" s="85">
        <v>0</v>
      </c>
      <c r="Y25" s="85"/>
      <c r="Z25" s="85"/>
      <c r="AA25" s="85"/>
      <c r="AB25" s="85">
        <v>0</v>
      </c>
      <c r="AC25" s="85"/>
      <c r="AD25" s="85"/>
      <c r="AE25" s="85"/>
      <c r="AF25" s="85"/>
      <c r="AG25" s="85"/>
      <c r="AH25" s="85">
        <f t="shared" si="3"/>
        <v>0</v>
      </c>
      <c r="AI25" s="86">
        <f t="shared" si="0"/>
        <v>0</v>
      </c>
      <c r="AJ25" s="86"/>
      <c r="AL25" s="81">
        <f t="shared" si="4"/>
        <v>0</v>
      </c>
      <c r="AM25" s="81">
        <f t="shared" si="5"/>
        <v>0</v>
      </c>
      <c r="AN25" s="81">
        <f t="shared" si="6"/>
        <v>0</v>
      </c>
      <c r="AO25" s="81">
        <f t="shared" si="7"/>
        <v>0</v>
      </c>
      <c r="AP25" s="81">
        <f t="shared" si="8"/>
        <v>0</v>
      </c>
      <c r="AQ25" s="81">
        <f t="shared" ref="AQ25:AQ34" si="16">R25</f>
        <v>0</v>
      </c>
      <c r="AR25" s="82">
        <f t="shared" si="9"/>
        <v>0</v>
      </c>
      <c r="AS25" s="82">
        <f t="shared" si="10"/>
        <v>0</v>
      </c>
      <c r="AT25" s="82">
        <f t="shared" si="11"/>
        <v>0</v>
      </c>
      <c r="AU25" s="82">
        <f t="shared" si="12"/>
        <v>0</v>
      </c>
      <c r="AV25" s="82">
        <f t="shared" si="13"/>
        <v>0</v>
      </c>
      <c r="AW25" s="82">
        <f t="shared" si="15"/>
        <v>0</v>
      </c>
    </row>
    <row r="26" spans="1:49" ht="20.25" customHeight="1" x14ac:dyDescent="0.3">
      <c r="A26" s="83" t="s">
        <v>24</v>
      </c>
      <c r="B26" s="83" t="s">
        <v>5</v>
      </c>
      <c r="C26" s="84"/>
      <c r="D26" s="84"/>
      <c r="E26" s="84"/>
      <c r="F26" s="84"/>
      <c r="G26" s="84"/>
      <c r="H26" s="84">
        <v>0</v>
      </c>
      <c r="I26" s="84"/>
      <c r="J26" s="84"/>
      <c r="K26" s="84">
        <v>0</v>
      </c>
      <c r="L26" s="84">
        <v>0</v>
      </c>
      <c r="M26" s="84"/>
      <c r="N26" s="84"/>
      <c r="O26" s="84"/>
      <c r="P26" s="84"/>
      <c r="Q26" s="84"/>
      <c r="R26" s="84">
        <f t="shared" si="2"/>
        <v>0</v>
      </c>
      <c r="S26" s="85"/>
      <c r="T26" s="85"/>
      <c r="U26" s="85"/>
      <c r="V26" s="85"/>
      <c r="W26" s="85"/>
      <c r="X26" s="85">
        <v>0</v>
      </c>
      <c r="Y26" s="85"/>
      <c r="Z26" s="85"/>
      <c r="AA26" s="85">
        <v>0</v>
      </c>
      <c r="AB26" s="85">
        <v>0</v>
      </c>
      <c r="AC26" s="85"/>
      <c r="AD26" s="85"/>
      <c r="AE26" s="85"/>
      <c r="AF26" s="85"/>
      <c r="AG26" s="85"/>
      <c r="AH26" s="85">
        <f t="shared" si="3"/>
        <v>0</v>
      </c>
      <c r="AI26" s="86">
        <f t="shared" si="0"/>
        <v>0</v>
      </c>
      <c r="AJ26" s="86">
        <f>SUM(AI26:AI28)</f>
        <v>0</v>
      </c>
      <c r="AL26" s="81">
        <f t="shared" si="4"/>
        <v>0</v>
      </c>
      <c r="AM26" s="81">
        <f t="shared" si="5"/>
        <v>0</v>
      </c>
      <c r="AN26" s="81">
        <f t="shared" si="6"/>
        <v>0</v>
      </c>
      <c r="AO26" s="81">
        <f t="shared" si="7"/>
        <v>0</v>
      </c>
      <c r="AP26" s="81">
        <f t="shared" si="8"/>
        <v>0</v>
      </c>
      <c r="AQ26" s="81">
        <f t="shared" si="16"/>
        <v>0</v>
      </c>
      <c r="AR26" s="82">
        <f t="shared" si="9"/>
        <v>0</v>
      </c>
      <c r="AS26" s="82">
        <f t="shared" si="10"/>
        <v>0</v>
      </c>
      <c r="AT26" s="82">
        <f t="shared" si="11"/>
        <v>0</v>
      </c>
      <c r="AU26" s="82">
        <f t="shared" si="12"/>
        <v>0</v>
      </c>
      <c r="AV26" s="82">
        <f t="shared" si="13"/>
        <v>0</v>
      </c>
      <c r="AW26" s="82">
        <f t="shared" si="15"/>
        <v>0</v>
      </c>
    </row>
    <row r="27" spans="1:49" ht="20.25" customHeight="1" x14ac:dyDescent="0.3">
      <c r="A27" s="83"/>
      <c r="B27" s="83" t="s">
        <v>6</v>
      </c>
      <c r="C27" s="84"/>
      <c r="D27" s="84"/>
      <c r="E27" s="84"/>
      <c r="F27" s="84"/>
      <c r="G27" s="84"/>
      <c r="H27" s="84">
        <v>0</v>
      </c>
      <c r="I27" s="84"/>
      <c r="J27" s="84"/>
      <c r="K27" s="84"/>
      <c r="L27" s="84">
        <v>0</v>
      </c>
      <c r="M27" s="84"/>
      <c r="N27" s="84"/>
      <c r="O27" s="84"/>
      <c r="P27" s="84"/>
      <c r="Q27" s="84"/>
      <c r="R27" s="84">
        <f t="shared" si="2"/>
        <v>0</v>
      </c>
      <c r="S27" s="85"/>
      <c r="T27" s="85"/>
      <c r="U27" s="85"/>
      <c r="V27" s="85"/>
      <c r="W27" s="85"/>
      <c r="X27" s="85">
        <v>0</v>
      </c>
      <c r="Y27" s="85"/>
      <c r="Z27" s="85"/>
      <c r="AA27" s="85"/>
      <c r="AB27" s="85">
        <v>0</v>
      </c>
      <c r="AC27" s="85"/>
      <c r="AD27" s="85"/>
      <c r="AE27" s="85"/>
      <c r="AF27" s="85"/>
      <c r="AG27" s="85"/>
      <c r="AH27" s="85">
        <f t="shared" si="3"/>
        <v>0</v>
      </c>
      <c r="AI27" s="86">
        <f t="shared" si="0"/>
        <v>0</v>
      </c>
      <c r="AJ27" s="86"/>
      <c r="AL27" s="81">
        <f t="shared" si="4"/>
        <v>0</v>
      </c>
      <c r="AM27" s="81">
        <f t="shared" si="5"/>
        <v>0</v>
      </c>
      <c r="AN27" s="81">
        <f t="shared" si="6"/>
        <v>0</v>
      </c>
      <c r="AO27" s="81">
        <f t="shared" si="7"/>
        <v>0</v>
      </c>
      <c r="AP27" s="81">
        <f t="shared" si="8"/>
        <v>0</v>
      </c>
      <c r="AQ27" s="81">
        <f t="shared" si="16"/>
        <v>0</v>
      </c>
      <c r="AR27" s="82">
        <f t="shared" si="9"/>
        <v>0</v>
      </c>
      <c r="AS27" s="82">
        <f t="shared" si="10"/>
        <v>0</v>
      </c>
      <c r="AT27" s="82">
        <f t="shared" si="11"/>
        <v>0</v>
      </c>
      <c r="AU27" s="82">
        <f t="shared" si="12"/>
        <v>0</v>
      </c>
      <c r="AV27" s="82">
        <f t="shared" si="13"/>
        <v>0</v>
      </c>
      <c r="AW27" s="82">
        <f t="shared" si="15"/>
        <v>0</v>
      </c>
    </row>
    <row r="28" spans="1:49" ht="20.25" customHeight="1" x14ac:dyDescent="0.3">
      <c r="A28" s="83"/>
      <c r="B28" s="83" t="s">
        <v>7</v>
      </c>
      <c r="C28" s="84"/>
      <c r="D28" s="84"/>
      <c r="E28" s="84"/>
      <c r="F28" s="84"/>
      <c r="G28" s="84"/>
      <c r="H28" s="84">
        <v>0</v>
      </c>
      <c r="I28" s="84"/>
      <c r="J28" s="84"/>
      <c r="K28" s="84"/>
      <c r="L28" s="84">
        <v>0</v>
      </c>
      <c r="M28" s="84"/>
      <c r="N28" s="84"/>
      <c r="O28" s="84"/>
      <c r="P28" s="84"/>
      <c r="Q28" s="84"/>
      <c r="R28" s="84">
        <f t="shared" si="2"/>
        <v>0</v>
      </c>
      <c r="S28" s="85"/>
      <c r="T28" s="85"/>
      <c r="U28" s="85"/>
      <c r="V28" s="85"/>
      <c r="W28" s="85"/>
      <c r="X28" s="85">
        <v>0</v>
      </c>
      <c r="Y28" s="85"/>
      <c r="Z28" s="85"/>
      <c r="AA28" s="85"/>
      <c r="AB28" s="85">
        <v>0</v>
      </c>
      <c r="AC28" s="85"/>
      <c r="AD28" s="85"/>
      <c r="AE28" s="85"/>
      <c r="AF28" s="85"/>
      <c r="AG28" s="85"/>
      <c r="AH28" s="85">
        <f t="shared" si="3"/>
        <v>0</v>
      </c>
      <c r="AI28" s="86">
        <f t="shared" si="0"/>
        <v>0</v>
      </c>
      <c r="AJ28" s="86"/>
      <c r="AL28" s="81">
        <f t="shared" si="4"/>
        <v>0</v>
      </c>
      <c r="AM28" s="81">
        <f t="shared" si="5"/>
        <v>0</v>
      </c>
      <c r="AN28" s="81">
        <f t="shared" si="6"/>
        <v>0</v>
      </c>
      <c r="AO28" s="81">
        <f t="shared" si="7"/>
        <v>0</v>
      </c>
      <c r="AP28" s="81">
        <f t="shared" si="8"/>
        <v>0</v>
      </c>
      <c r="AQ28" s="81">
        <f t="shared" si="16"/>
        <v>0</v>
      </c>
      <c r="AR28" s="82">
        <f t="shared" si="9"/>
        <v>0</v>
      </c>
      <c r="AS28" s="82">
        <f t="shared" si="10"/>
        <v>0</v>
      </c>
      <c r="AT28" s="82">
        <f t="shared" si="11"/>
        <v>0</v>
      </c>
      <c r="AU28" s="82">
        <f t="shared" si="12"/>
        <v>0</v>
      </c>
      <c r="AV28" s="82">
        <f t="shared" si="13"/>
        <v>0</v>
      </c>
      <c r="AW28" s="82">
        <f t="shared" si="15"/>
        <v>0</v>
      </c>
    </row>
    <row r="29" spans="1:49" ht="20.25" customHeight="1" x14ac:dyDescent="0.3">
      <c r="A29" s="83" t="s">
        <v>76</v>
      </c>
      <c r="B29" s="83" t="s">
        <v>5</v>
      </c>
      <c r="C29" s="84"/>
      <c r="D29" s="84"/>
      <c r="E29" s="84"/>
      <c r="F29" s="84"/>
      <c r="G29" s="84"/>
      <c r="H29" s="84">
        <v>0</v>
      </c>
      <c r="I29" s="84"/>
      <c r="J29" s="84"/>
      <c r="K29" s="84">
        <v>0</v>
      </c>
      <c r="L29" s="84">
        <v>0</v>
      </c>
      <c r="M29" s="84"/>
      <c r="N29" s="84"/>
      <c r="O29" s="84"/>
      <c r="P29" s="84"/>
      <c r="Q29" s="84"/>
      <c r="R29" s="84">
        <f t="shared" si="2"/>
        <v>0</v>
      </c>
      <c r="S29" s="85"/>
      <c r="T29" s="85"/>
      <c r="U29" s="85"/>
      <c r="V29" s="85"/>
      <c r="W29" s="85"/>
      <c r="X29" s="85">
        <v>0</v>
      </c>
      <c r="Y29" s="85"/>
      <c r="Z29" s="85"/>
      <c r="AA29" s="85">
        <v>0</v>
      </c>
      <c r="AB29" s="85">
        <v>0</v>
      </c>
      <c r="AC29" s="85"/>
      <c r="AD29" s="85"/>
      <c r="AE29" s="85"/>
      <c r="AF29" s="85"/>
      <c r="AG29" s="85"/>
      <c r="AH29" s="85">
        <f t="shared" si="3"/>
        <v>0</v>
      </c>
      <c r="AI29" s="86">
        <f t="shared" si="0"/>
        <v>0</v>
      </c>
      <c r="AJ29" s="86">
        <f>SUM(AI29:AI31)</f>
        <v>0</v>
      </c>
      <c r="AL29" s="81">
        <f t="shared" si="4"/>
        <v>0</v>
      </c>
      <c r="AM29" s="81">
        <f t="shared" si="5"/>
        <v>0</v>
      </c>
      <c r="AN29" s="81">
        <f t="shared" si="6"/>
        <v>0</v>
      </c>
      <c r="AO29" s="81">
        <f t="shared" si="7"/>
        <v>0</v>
      </c>
      <c r="AP29" s="81">
        <f t="shared" si="8"/>
        <v>0</v>
      </c>
      <c r="AQ29" s="81">
        <f t="shared" si="16"/>
        <v>0</v>
      </c>
      <c r="AR29" s="82">
        <f t="shared" si="9"/>
        <v>0</v>
      </c>
      <c r="AS29" s="82">
        <f t="shared" si="10"/>
        <v>0</v>
      </c>
      <c r="AT29" s="82">
        <f t="shared" si="11"/>
        <v>0</v>
      </c>
      <c r="AU29" s="82">
        <f t="shared" si="12"/>
        <v>0</v>
      </c>
      <c r="AV29" s="82">
        <f t="shared" si="13"/>
        <v>0</v>
      </c>
      <c r="AW29" s="82">
        <f t="shared" si="15"/>
        <v>0</v>
      </c>
    </row>
    <row r="30" spans="1:49" ht="20.25" customHeight="1" x14ac:dyDescent="0.3">
      <c r="A30" s="83"/>
      <c r="B30" s="83" t="s">
        <v>6</v>
      </c>
      <c r="C30" s="84"/>
      <c r="D30" s="84"/>
      <c r="E30" s="84"/>
      <c r="F30" s="84"/>
      <c r="G30" s="84"/>
      <c r="H30" s="84">
        <v>8</v>
      </c>
      <c r="I30" s="84"/>
      <c r="J30" s="84"/>
      <c r="K30" s="84"/>
      <c r="L30" s="84">
        <v>0</v>
      </c>
      <c r="M30" s="84"/>
      <c r="N30" s="84"/>
      <c r="O30" s="84"/>
      <c r="P30" s="84"/>
      <c r="Q30" s="84"/>
      <c r="R30" s="84">
        <f t="shared" si="2"/>
        <v>8</v>
      </c>
      <c r="S30" s="85"/>
      <c r="T30" s="85"/>
      <c r="U30" s="85"/>
      <c r="V30" s="85"/>
      <c r="W30" s="85"/>
      <c r="X30" s="85">
        <v>0</v>
      </c>
      <c r="Y30" s="85"/>
      <c r="Z30" s="85"/>
      <c r="AA30" s="85"/>
      <c r="AB30" s="85">
        <v>0</v>
      </c>
      <c r="AC30" s="85"/>
      <c r="AD30" s="85"/>
      <c r="AE30" s="85"/>
      <c r="AF30" s="85"/>
      <c r="AG30" s="85"/>
      <c r="AH30" s="85">
        <f t="shared" si="3"/>
        <v>0</v>
      </c>
      <c r="AI30" s="86">
        <f t="shared" si="0"/>
        <v>0</v>
      </c>
      <c r="AJ30" s="86"/>
      <c r="AL30" s="81">
        <f t="shared" si="4"/>
        <v>0</v>
      </c>
      <c r="AM30" s="81">
        <f t="shared" si="5"/>
        <v>0</v>
      </c>
      <c r="AN30" s="81">
        <f t="shared" si="6"/>
        <v>0</v>
      </c>
      <c r="AO30" s="81">
        <f t="shared" si="7"/>
        <v>0</v>
      </c>
      <c r="AP30" s="81">
        <f t="shared" si="8"/>
        <v>0</v>
      </c>
      <c r="AQ30" s="81">
        <f t="shared" si="16"/>
        <v>8</v>
      </c>
      <c r="AR30" s="82">
        <f t="shared" si="9"/>
        <v>0</v>
      </c>
      <c r="AS30" s="82">
        <f t="shared" si="10"/>
        <v>0</v>
      </c>
      <c r="AT30" s="82">
        <f t="shared" si="11"/>
        <v>0</v>
      </c>
      <c r="AU30" s="82">
        <f t="shared" si="12"/>
        <v>0</v>
      </c>
      <c r="AV30" s="82">
        <f t="shared" si="13"/>
        <v>0</v>
      </c>
      <c r="AW30" s="82">
        <f t="shared" si="15"/>
        <v>0</v>
      </c>
    </row>
    <row r="31" spans="1:49" ht="20.25" customHeight="1" x14ac:dyDescent="0.3">
      <c r="A31" s="83"/>
      <c r="B31" s="83" t="s">
        <v>7</v>
      </c>
      <c r="C31" s="84"/>
      <c r="D31" s="84"/>
      <c r="E31" s="84"/>
      <c r="F31" s="84"/>
      <c r="G31" s="84"/>
      <c r="H31" s="84">
        <v>0</v>
      </c>
      <c r="I31" s="84"/>
      <c r="J31" s="84"/>
      <c r="K31" s="84"/>
      <c r="L31" s="84">
        <v>0</v>
      </c>
      <c r="M31" s="84"/>
      <c r="N31" s="84"/>
      <c r="O31" s="84"/>
      <c r="P31" s="84"/>
      <c r="Q31" s="84"/>
      <c r="R31" s="84">
        <f t="shared" si="2"/>
        <v>0</v>
      </c>
      <c r="S31" s="85"/>
      <c r="T31" s="85"/>
      <c r="U31" s="85"/>
      <c r="V31" s="85"/>
      <c r="W31" s="85"/>
      <c r="X31" s="85">
        <v>0</v>
      </c>
      <c r="Y31" s="85"/>
      <c r="Z31" s="85"/>
      <c r="AA31" s="85"/>
      <c r="AB31" s="85">
        <v>0</v>
      </c>
      <c r="AC31" s="85"/>
      <c r="AD31" s="85"/>
      <c r="AE31" s="85"/>
      <c r="AF31" s="85"/>
      <c r="AG31" s="85"/>
      <c r="AH31" s="85">
        <f t="shared" si="3"/>
        <v>0</v>
      </c>
      <c r="AI31" s="86">
        <f t="shared" si="0"/>
        <v>0</v>
      </c>
      <c r="AJ31" s="86"/>
      <c r="AL31" s="81">
        <f t="shared" si="4"/>
        <v>0</v>
      </c>
      <c r="AM31" s="81">
        <f t="shared" si="5"/>
        <v>0</v>
      </c>
      <c r="AN31" s="81">
        <f t="shared" si="6"/>
        <v>0</v>
      </c>
      <c r="AO31" s="81">
        <f t="shared" si="7"/>
        <v>0</v>
      </c>
      <c r="AP31" s="81">
        <f t="shared" si="8"/>
        <v>0</v>
      </c>
      <c r="AQ31" s="81">
        <f t="shared" si="16"/>
        <v>0</v>
      </c>
      <c r="AR31" s="82">
        <f t="shared" si="9"/>
        <v>0</v>
      </c>
      <c r="AS31" s="82">
        <f t="shared" si="10"/>
        <v>0</v>
      </c>
      <c r="AT31" s="82">
        <f t="shared" si="11"/>
        <v>0</v>
      </c>
      <c r="AU31" s="82">
        <f t="shared" si="12"/>
        <v>0</v>
      </c>
      <c r="AV31" s="82">
        <f t="shared" si="13"/>
        <v>0</v>
      </c>
      <c r="AW31" s="82">
        <f t="shared" si="15"/>
        <v>0</v>
      </c>
    </row>
    <row r="32" spans="1:49" ht="20.25" customHeight="1" x14ac:dyDescent="0.3">
      <c r="A32" s="83" t="s">
        <v>39</v>
      </c>
      <c r="B32" s="83" t="s">
        <v>5</v>
      </c>
      <c r="C32" s="84"/>
      <c r="D32" s="84"/>
      <c r="E32" s="84"/>
      <c r="F32" s="84"/>
      <c r="G32" s="84"/>
      <c r="H32" s="84">
        <v>0</v>
      </c>
      <c r="I32" s="84"/>
      <c r="J32" s="84"/>
      <c r="K32" s="84">
        <v>0</v>
      </c>
      <c r="L32" s="84">
        <v>0</v>
      </c>
      <c r="M32" s="84"/>
      <c r="N32" s="84"/>
      <c r="O32" s="84"/>
      <c r="P32" s="84"/>
      <c r="Q32" s="84"/>
      <c r="R32" s="84">
        <f t="shared" si="2"/>
        <v>0</v>
      </c>
      <c r="S32" s="85"/>
      <c r="T32" s="85"/>
      <c r="U32" s="85"/>
      <c r="V32" s="85"/>
      <c r="W32" s="85"/>
      <c r="X32" s="85">
        <v>0</v>
      </c>
      <c r="Y32" s="85"/>
      <c r="Z32" s="85"/>
      <c r="AA32" s="85">
        <v>0</v>
      </c>
      <c r="AB32" s="85">
        <v>0</v>
      </c>
      <c r="AC32" s="85"/>
      <c r="AD32" s="85"/>
      <c r="AE32" s="85"/>
      <c r="AF32" s="85"/>
      <c r="AG32" s="85"/>
      <c r="AH32" s="85">
        <f t="shared" si="3"/>
        <v>0</v>
      </c>
      <c r="AI32" s="86">
        <f t="shared" si="0"/>
        <v>0</v>
      </c>
      <c r="AJ32" s="86">
        <f>SUM(AI32:AI34)</f>
        <v>0</v>
      </c>
      <c r="AL32" s="81">
        <f t="shared" si="4"/>
        <v>0</v>
      </c>
      <c r="AM32" s="81">
        <f t="shared" si="5"/>
        <v>0</v>
      </c>
      <c r="AN32" s="81">
        <f t="shared" si="6"/>
        <v>0</v>
      </c>
      <c r="AO32" s="81">
        <f t="shared" si="7"/>
        <v>0</v>
      </c>
      <c r="AP32" s="81">
        <f t="shared" si="8"/>
        <v>0</v>
      </c>
      <c r="AQ32" s="81">
        <f t="shared" si="16"/>
        <v>0</v>
      </c>
      <c r="AR32" s="82">
        <f t="shared" si="9"/>
        <v>0</v>
      </c>
      <c r="AS32" s="82">
        <f t="shared" si="10"/>
        <v>0</v>
      </c>
      <c r="AT32" s="82">
        <f t="shared" si="11"/>
        <v>0</v>
      </c>
      <c r="AU32" s="82">
        <f t="shared" si="12"/>
        <v>0</v>
      </c>
      <c r="AV32" s="82">
        <f t="shared" si="13"/>
        <v>0</v>
      </c>
      <c r="AW32" s="82">
        <f t="shared" si="15"/>
        <v>0</v>
      </c>
    </row>
    <row r="33" spans="1:49" ht="20.25" customHeight="1" x14ac:dyDescent="0.3">
      <c r="A33" s="83"/>
      <c r="B33" s="83" t="s">
        <v>6</v>
      </c>
      <c r="C33" s="84"/>
      <c r="D33" s="84"/>
      <c r="E33" s="84"/>
      <c r="F33" s="84"/>
      <c r="G33" s="84"/>
      <c r="H33" s="84">
        <v>0</v>
      </c>
      <c r="I33" s="84"/>
      <c r="J33" s="84"/>
      <c r="K33" s="84"/>
      <c r="L33" s="84">
        <v>0</v>
      </c>
      <c r="M33" s="84"/>
      <c r="N33" s="84"/>
      <c r="O33" s="84"/>
      <c r="P33" s="84"/>
      <c r="Q33" s="84"/>
      <c r="R33" s="84">
        <f t="shared" si="2"/>
        <v>0</v>
      </c>
      <c r="S33" s="85"/>
      <c r="T33" s="85"/>
      <c r="U33" s="85"/>
      <c r="V33" s="85"/>
      <c r="W33" s="85"/>
      <c r="X33" s="85">
        <v>6</v>
      </c>
      <c r="Y33" s="85"/>
      <c r="Z33" s="85"/>
      <c r="AA33" s="85"/>
      <c r="AB33" s="85">
        <v>0</v>
      </c>
      <c r="AC33" s="85"/>
      <c r="AD33" s="85"/>
      <c r="AE33" s="85"/>
      <c r="AF33" s="85"/>
      <c r="AG33" s="85"/>
      <c r="AH33" s="85">
        <f t="shared" si="3"/>
        <v>6</v>
      </c>
      <c r="AI33" s="86">
        <f t="shared" si="0"/>
        <v>0</v>
      </c>
      <c r="AJ33" s="86"/>
      <c r="AL33" s="81">
        <f t="shared" si="4"/>
        <v>0</v>
      </c>
      <c r="AM33" s="81">
        <f t="shared" si="5"/>
        <v>0</v>
      </c>
      <c r="AN33" s="81">
        <f t="shared" si="6"/>
        <v>0</v>
      </c>
      <c r="AO33" s="81">
        <f t="shared" si="7"/>
        <v>0</v>
      </c>
      <c r="AP33" s="81">
        <f t="shared" si="8"/>
        <v>0</v>
      </c>
      <c r="AQ33" s="81">
        <f t="shared" si="16"/>
        <v>0</v>
      </c>
      <c r="AR33" s="82">
        <f t="shared" si="9"/>
        <v>0</v>
      </c>
      <c r="AS33" s="82">
        <f t="shared" si="10"/>
        <v>0</v>
      </c>
      <c r="AT33" s="82">
        <f t="shared" si="11"/>
        <v>0</v>
      </c>
      <c r="AU33" s="82">
        <f t="shared" si="12"/>
        <v>0</v>
      </c>
      <c r="AV33" s="82">
        <f t="shared" si="13"/>
        <v>0</v>
      </c>
      <c r="AW33" s="82">
        <f t="shared" si="15"/>
        <v>6</v>
      </c>
    </row>
    <row r="34" spans="1:49" ht="20.25" customHeight="1" x14ac:dyDescent="0.3">
      <c r="A34" s="83"/>
      <c r="B34" s="83" t="s">
        <v>7</v>
      </c>
      <c r="C34" s="84"/>
      <c r="D34" s="84"/>
      <c r="E34" s="84"/>
      <c r="F34" s="84"/>
      <c r="G34" s="84"/>
      <c r="H34" s="84">
        <v>0</v>
      </c>
      <c r="I34" s="84"/>
      <c r="J34" s="84"/>
      <c r="K34" s="84"/>
      <c r="L34" s="84">
        <v>0</v>
      </c>
      <c r="M34" s="84"/>
      <c r="N34" s="84"/>
      <c r="O34" s="84"/>
      <c r="P34" s="84"/>
      <c r="Q34" s="84"/>
      <c r="R34" s="84">
        <f t="shared" si="2"/>
        <v>0</v>
      </c>
      <c r="S34" s="85"/>
      <c r="T34" s="85"/>
      <c r="U34" s="85"/>
      <c r="V34" s="85"/>
      <c r="W34" s="85"/>
      <c r="X34" s="85">
        <v>0</v>
      </c>
      <c r="Y34" s="85"/>
      <c r="Z34" s="85"/>
      <c r="AA34" s="85"/>
      <c r="AB34" s="85">
        <v>0</v>
      </c>
      <c r="AC34" s="85"/>
      <c r="AD34" s="85"/>
      <c r="AE34" s="85"/>
      <c r="AF34" s="85"/>
      <c r="AG34" s="85"/>
      <c r="AH34" s="85">
        <f t="shared" si="3"/>
        <v>0</v>
      </c>
      <c r="AI34" s="86">
        <f t="shared" si="0"/>
        <v>0</v>
      </c>
      <c r="AJ34" s="86"/>
      <c r="AL34" s="81">
        <f t="shared" si="4"/>
        <v>0</v>
      </c>
      <c r="AM34" s="81">
        <f t="shared" si="5"/>
        <v>0</v>
      </c>
      <c r="AN34" s="81">
        <f t="shared" si="6"/>
        <v>0</v>
      </c>
      <c r="AO34" s="81">
        <f t="shared" si="7"/>
        <v>0</v>
      </c>
      <c r="AP34" s="81">
        <f t="shared" si="8"/>
        <v>0</v>
      </c>
      <c r="AQ34" s="81">
        <f t="shared" si="16"/>
        <v>0</v>
      </c>
      <c r="AR34" s="82">
        <f t="shared" si="9"/>
        <v>0</v>
      </c>
      <c r="AS34" s="82">
        <f t="shared" si="10"/>
        <v>0</v>
      </c>
      <c r="AT34" s="82">
        <f t="shared" si="11"/>
        <v>0</v>
      </c>
      <c r="AU34" s="82">
        <f t="shared" si="12"/>
        <v>0</v>
      </c>
      <c r="AV34" s="82">
        <f t="shared" si="13"/>
        <v>0</v>
      </c>
      <c r="AW34" s="82">
        <f t="shared" si="15"/>
        <v>0</v>
      </c>
    </row>
    <row r="35" spans="1:49" ht="20.25" customHeight="1" x14ac:dyDescent="0.3">
      <c r="A35" s="83" t="s">
        <v>68</v>
      </c>
      <c r="B35" s="83" t="s">
        <v>5</v>
      </c>
      <c r="C35" s="84">
        <v>2</v>
      </c>
      <c r="D35" s="84">
        <v>45</v>
      </c>
      <c r="E35" s="84">
        <v>12</v>
      </c>
      <c r="F35" s="84"/>
      <c r="G35" s="84"/>
      <c r="H35" s="84">
        <v>59</v>
      </c>
      <c r="I35" s="84">
        <v>0</v>
      </c>
      <c r="J35" s="84">
        <v>0</v>
      </c>
      <c r="K35" s="84">
        <v>0</v>
      </c>
      <c r="L35" s="84">
        <v>12</v>
      </c>
      <c r="M35" s="84"/>
      <c r="N35" s="84"/>
      <c r="O35" s="84"/>
      <c r="P35" s="84"/>
      <c r="Q35" s="84"/>
      <c r="R35" s="84">
        <f t="shared" si="2"/>
        <v>71</v>
      </c>
      <c r="S35" s="85">
        <v>0</v>
      </c>
      <c r="T35" s="85">
        <v>9</v>
      </c>
      <c r="U35" s="85">
        <v>54</v>
      </c>
      <c r="V35" s="85"/>
      <c r="W35" s="85"/>
      <c r="X35" s="85">
        <v>63</v>
      </c>
      <c r="Y35" s="85">
        <v>0</v>
      </c>
      <c r="Z35" s="85">
        <v>0</v>
      </c>
      <c r="AA35" s="85">
        <v>0</v>
      </c>
      <c r="AB35" s="85">
        <v>6</v>
      </c>
      <c r="AC35" s="85"/>
      <c r="AD35" s="85"/>
      <c r="AE35" s="85"/>
      <c r="AF35" s="85"/>
      <c r="AG35" s="85"/>
      <c r="AH35" s="85">
        <f t="shared" si="3"/>
        <v>69</v>
      </c>
      <c r="AI35" s="86">
        <f t="shared" si="0"/>
        <v>2</v>
      </c>
      <c r="AJ35" s="86">
        <f>SUM(AI35:AI37)</f>
        <v>2</v>
      </c>
      <c r="AL35" s="81">
        <f t="shared" si="4"/>
        <v>2</v>
      </c>
      <c r="AM35" s="81">
        <f t="shared" si="5"/>
        <v>57</v>
      </c>
      <c r="AN35" s="81">
        <f t="shared" si="6"/>
        <v>12</v>
      </c>
      <c r="AO35" s="81">
        <f t="shared" si="7"/>
        <v>0</v>
      </c>
      <c r="AP35" s="81">
        <f t="shared" si="8"/>
        <v>0</v>
      </c>
      <c r="AQ35" s="81">
        <f t="shared" ref="AQ35:AQ40" si="17">SUM(AL35:AP35)</f>
        <v>71</v>
      </c>
      <c r="AR35" s="82">
        <f t="shared" si="9"/>
        <v>0</v>
      </c>
      <c r="AS35" s="82">
        <f t="shared" si="10"/>
        <v>15</v>
      </c>
      <c r="AT35" s="82">
        <f t="shared" si="11"/>
        <v>54</v>
      </c>
      <c r="AU35" s="82">
        <f t="shared" si="12"/>
        <v>0</v>
      </c>
      <c r="AV35" s="82">
        <f t="shared" si="13"/>
        <v>0</v>
      </c>
      <c r="AW35" s="82">
        <f t="shared" si="14"/>
        <v>69</v>
      </c>
    </row>
    <row r="36" spans="1:49" ht="20.25" customHeight="1" x14ac:dyDescent="0.3">
      <c r="A36" s="83"/>
      <c r="B36" s="83" t="s">
        <v>6</v>
      </c>
      <c r="C36" s="84">
        <v>0</v>
      </c>
      <c r="D36" s="84">
        <v>43</v>
      </c>
      <c r="E36" s="84">
        <v>30</v>
      </c>
      <c r="F36" s="84">
        <v>0</v>
      </c>
      <c r="G36" s="84"/>
      <c r="H36" s="84">
        <v>73</v>
      </c>
      <c r="I36" s="84"/>
      <c r="J36" s="84"/>
      <c r="K36" s="84"/>
      <c r="L36" s="84">
        <v>6</v>
      </c>
      <c r="M36" s="84"/>
      <c r="N36" s="84"/>
      <c r="O36" s="84"/>
      <c r="P36" s="84"/>
      <c r="Q36" s="84"/>
      <c r="R36" s="84">
        <f t="shared" si="2"/>
        <v>79</v>
      </c>
      <c r="S36" s="85">
        <v>0</v>
      </c>
      <c r="T36" s="85">
        <v>24</v>
      </c>
      <c r="U36" s="85">
        <v>42</v>
      </c>
      <c r="V36" s="85">
        <v>0</v>
      </c>
      <c r="W36" s="85"/>
      <c r="X36" s="85">
        <v>66</v>
      </c>
      <c r="Y36" s="85"/>
      <c r="Z36" s="85"/>
      <c r="AA36" s="85"/>
      <c r="AB36" s="85">
        <v>6</v>
      </c>
      <c r="AC36" s="85"/>
      <c r="AD36" s="85"/>
      <c r="AE36" s="85"/>
      <c r="AF36" s="85"/>
      <c r="AG36" s="85"/>
      <c r="AH36" s="85">
        <f t="shared" si="3"/>
        <v>72</v>
      </c>
      <c r="AI36" s="86">
        <f t="shared" si="0"/>
        <v>0</v>
      </c>
      <c r="AJ36" s="86"/>
      <c r="AL36" s="81">
        <f t="shared" si="4"/>
        <v>0</v>
      </c>
      <c r="AM36" s="81">
        <f t="shared" si="5"/>
        <v>49</v>
      </c>
      <c r="AN36" s="81">
        <f t="shared" si="6"/>
        <v>30</v>
      </c>
      <c r="AO36" s="81">
        <f t="shared" si="7"/>
        <v>0</v>
      </c>
      <c r="AP36" s="81">
        <f t="shared" si="8"/>
        <v>0</v>
      </c>
      <c r="AQ36" s="81">
        <f t="shared" si="17"/>
        <v>79</v>
      </c>
      <c r="AR36" s="82">
        <f t="shared" si="9"/>
        <v>0</v>
      </c>
      <c r="AS36" s="82">
        <f t="shared" si="10"/>
        <v>30</v>
      </c>
      <c r="AT36" s="82">
        <f t="shared" si="11"/>
        <v>42</v>
      </c>
      <c r="AU36" s="82">
        <f t="shared" si="12"/>
        <v>0</v>
      </c>
      <c r="AV36" s="82">
        <f t="shared" si="13"/>
        <v>0</v>
      </c>
      <c r="AW36" s="82">
        <f t="shared" si="14"/>
        <v>72</v>
      </c>
    </row>
    <row r="37" spans="1:49" ht="20.25" customHeight="1" x14ac:dyDescent="0.3">
      <c r="A37" s="83"/>
      <c r="B37" s="83" t="s">
        <v>7</v>
      </c>
      <c r="C37" s="84">
        <v>0</v>
      </c>
      <c r="D37" s="84">
        <v>20</v>
      </c>
      <c r="E37" s="84">
        <v>84</v>
      </c>
      <c r="F37" s="84">
        <v>0</v>
      </c>
      <c r="G37" s="84"/>
      <c r="H37" s="84">
        <v>104</v>
      </c>
      <c r="I37" s="84"/>
      <c r="J37" s="84"/>
      <c r="K37" s="84"/>
      <c r="L37" s="84">
        <v>0</v>
      </c>
      <c r="M37" s="84"/>
      <c r="N37" s="84"/>
      <c r="O37" s="84"/>
      <c r="P37" s="84"/>
      <c r="Q37" s="84"/>
      <c r="R37" s="84">
        <f t="shared" si="2"/>
        <v>104</v>
      </c>
      <c r="S37" s="85">
        <v>0</v>
      </c>
      <c r="T37" s="85">
        <v>8</v>
      </c>
      <c r="U37" s="85">
        <v>36</v>
      </c>
      <c r="V37" s="85">
        <v>0</v>
      </c>
      <c r="W37" s="85"/>
      <c r="X37" s="85">
        <v>44</v>
      </c>
      <c r="Y37" s="85"/>
      <c r="Z37" s="85"/>
      <c r="AA37" s="85"/>
      <c r="AB37" s="85">
        <v>0</v>
      </c>
      <c r="AC37" s="85"/>
      <c r="AD37" s="85"/>
      <c r="AE37" s="85"/>
      <c r="AF37" s="85"/>
      <c r="AG37" s="85"/>
      <c r="AH37" s="85">
        <f t="shared" si="3"/>
        <v>44</v>
      </c>
      <c r="AI37" s="86">
        <f t="shared" si="0"/>
        <v>0</v>
      </c>
      <c r="AJ37" s="86"/>
      <c r="AL37" s="81">
        <f t="shared" si="4"/>
        <v>0</v>
      </c>
      <c r="AM37" s="81">
        <f t="shared" si="5"/>
        <v>20</v>
      </c>
      <c r="AN37" s="81">
        <f t="shared" si="6"/>
        <v>84</v>
      </c>
      <c r="AO37" s="81">
        <f t="shared" si="7"/>
        <v>0</v>
      </c>
      <c r="AP37" s="81">
        <f t="shared" si="8"/>
        <v>0</v>
      </c>
      <c r="AQ37" s="81">
        <f t="shared" si="17"/>
        <v>104</v>
      </c>
      <c r="AR37" s="82">
        <f t="shared" si="9"/>
        <v>0</v>
      </c>
      <c r="AS37" s="82">
        <f t="shared" si="10"/>
        <v>8</v>
      </c>
      <c r="AT37" s="82">
        <f t="shared" si="11"/>
        <v>36</v>
      </c>
      <c r="AU37" s="82">
        <f t="shared" si="12"/>
        <v>0</v>
      </c>
      <c r="AV37" s="82">
        <f t="shared" si="13"/>
        <v>0</v>
      </c>
      <c r="AW37" s="82">
        <f t="shared" si="14"/>
        <v>44</v>
      </c>
    </row>
    <row r="38" spans="1:49" ht="20.25" customHeight="1" x14ac:dyDescent="0.3">
      <c r="A38" s="83" t="s">
        <v>66</v>
      </c>
      <c r="B38" s="83" t="s">
        <v>5</v>
      </c>
      <c r="C38" s="84">
        <v>0</v>
      </c>
      <c r="D38" s="84">
        <v>36</v>
      </c>
      <c r="E38" s="84">
        <v>10</v>
      </c>
      <c r="F38" s="84"/>
      <c r="G38" s="84"/>
      <c r="H38" s="84">
        <v>46</v>
      </c>
      <c r="I38" s="84">
        <v>0</v>
      </c>
      <c r="J38" s="84">
        <v>0</v>
      </c>
      <c r="K38" s="84">
        <v>0</v>
      </c>
      <c r="L38" s="84">
        <v>4</v>
      </c>
      <c r="M38" s="84"/>
      <c r="N38" s="84"/>
      <c r="O38" s="84"/>
      <c r="P38" s="84"/>
      <c r="Q38" s="84"/>
      <c r="R38" s="84">
        <f t="shared" si="2"/>
        <v>50</v>
      </c>
      <c r="S38" s="85">
        <v>0</v>
      </c>
      <c r="T38" s="85">
        <v>17</v>
      </c>
      <c r="U38" s="85">
        <v>29</v>
      </c>
      <c r="V38" s="85"/>
      <c r="W38" s="85"/>
      <c r="X38" s="85">
        <v>46</v>
      </c>
      <c r="Y38" s="85">
        <v>0</v>
      </c>
      <c r="Z38" s="85">
        <v>0</v>
      </c>
      <c r="AA38" s="85">
        <v>0</v>
      </c>
      <c r="AB38" s="85">
        <v>4</v>
      </c>
      <c r="AC38" s="85"/>
      <c r="AD38" s="85"/>
      <c r="AE38" s="85"/>
      <c r="AF38" s="85"/>
      <c r="AG38" s="85"/>
      <c r="AH38" s="85">
        <f t="shared" si="3"/>
        <v>50</v>
      </c>
      <c r="AI38" s="86">
        <f t="shared" si="0"/>
        <v>0</v>
      </c>
      <c r="AJ38" s="86">
        <f>SUM(AI38:AI40)</f>
        <v>0</v>
      </c>
      <c r="AL38" s="81">
        <f t="shared" si="4"/>
        <v>0</v>
      </c>
      <c r="AM38" s="81">
        <f t="shared" si="5"/>
        <v>40</v>
      </c>
      <c r="AN38" s="81">
        <f t="shared" si="6"/>
        <v>10</v>
      </c>
      <c r="AO38" s="81">
        <f t="shared" si="7"/>
        <v>0</v>
      </c>
      <c r="AP38" s="81">
        <f t="shared" si="8"/>
        <v>0</v>
      </c>
      <c r="AQ38" s="81">
        <f t="shared" si="17"/>
        <v>50</v>
      </c>
      <c r="AR38" s="82">
        <f t="shared" si="9"/>
        <v>0</v>
      </c>
      <c r="AS38" s="82">
        <f t="shared" si="10"/>
        <v>21</v>
      </c>
      <c r="AT38" s="82">
        <f t="shared" si="11"/>
        <v>29</v>
      </c>
      <c r="AU38" s="82">
        <f t="shared" si="12"/>
        <v>0</v>
      </c>
      <c r="AV38" s="82">
        <f t="shared" si="13"/>
        <v>0</v>
      </c>
      <c r="AW38" s="82">
        <f t="shared" si="14"/>
        <v>50</v>
      </c>
    </row>
    <row r="39" spans="1:49" ht="20.25" customHeight="1" x14ac:dyDescent="0.3">
      <c r="A39" s="83"/>
      <c r="B39" s="83" t="s">
        <v>6</v>
      </c>
      <c r="C39" s="84">
        <v>0</v>
      </c>
      <c r="D39" s="84">
        <v>16</v>
      </c>
      <c r="E39" s="84">
        <v>30</v>
      </c>
      <c r="F39" s="84"/>
      <c r="G39" s="84"/>
      <c r="H39" s="84">
        <v>46</v>
      </c>
      <c r="I39" s="84"/>
      <c r="J39" s="84"/>
      <c r="K39" s="84"/>
      <c r="L39" s="84">
        <v>4</v>
      </c>
      <c r="M39" s="84"/>
      <c r="N39" s="84"/>
      <c r="O39" s="84"/>
      <c r="P39" s="84"/>
      <c r="Q39" s="84"/>
      <c r="R39" s="84">
        <f t="shared" si="2"/>
        <v>50</v>
      </c>
      <c r="S39" s="85">
        <v>0</v>
      </c>
      <c r="T39" s="85">
        <v>8</v>
      </c>
      <c r="U39" s="85">
        <v>38</v>
      </c>
      <c r="V39" s="85"/>
      <c r="W39" s="85"/>
      <c r="X39" s="85">
        <v>46</v>
      </c>
      <c r="Y39" s="85"/>
      <c r="Z39" s="85"/>
      <c r="AA39" s="85"/>
      <c r="AB39" s="85">
        <v>4</v>
      </c>
      <c r="AC39" s="85"/>
      <c r="AD39" s="85"/>
      <c r="AE39" s="85"/>
      <c r="AF39" s="85"/>
      <c r="AG39" s="85"/>
      <c r="AH39" s="85">
        <f t="shared" si="3"/>
        <v>50</v>
      </c>
      <c r="AI39" s="86">
        <f t="shared" si="0"/>
        <v>0</v>
      </c>
      <c r="AJ39" s="86"/>
      <c r="AL39" s="81">
        <f t="shared" si="4"/>
        <v>0</v>
      </c>
      <c r="AM39" s="81">
        <f t="shared" si="5"/>
        <v>20</v>
      </c>
      <c r="AN39" s="81">
        <f t="shared" si="6"/>
        <v>30</v>
      </c>
      <c r="AO39" s="81">
        <f t="shared" si="7"/>
        <v>0</v>
      </c>
      <c r="AP39" s="81">
        <f t="shared" si="8"/>
        <v>0</v>
      </c>
      <c r="AQ39" s="81">
        <f t="shared" si="17"/>
        <v>50</v>
      </c>
      <c r="AR39" s="82">
        <f t="shared" si="9"/>
        <v>0</v>
      </c>
      <c r="AS39" s="82">
        <f t="shared" si="10"/>
        <v>12</v>
      </c>
      <c r="AT39" s="82">
        <f t="shared" si="11"/>
        <v>38</v>
      </c>
      <c r="AU39" s="82">
        <f t="shared" si="12"/>
        <v>0</v>
      </c>
      <c r="AV39" s="82">
        <f t="shared" si="13"/>
        <v>0</v>
      </c>
      <c r="AW39" s="82">
        <f t="shared" si="14"/>
        <v>50</v>
      </c>
    </row>
    <row r="40" spans="1:49" ht="20.25" customHeight="1" x14ac:dyDescent="0.3">
      <c r="A40" s="83"/>
      <c r="B40" s="83" t="s">
        <v>7</v>
      </c>
      <c r="C40" s="84">
        <v>0</v>
      </c>
      <c r="D40" s="84">
        <v>5</v>
      </c>
      <c r="E40" s="84">
        <v>25</v>
      </c>
      <c r="F40" s="84">
        <v>0</v>
      </c>
      <c r="G40" s="84"/>
      <c r="H40" s="84">
        <v>30</v>
      </c>
      <c r="I40" s="84"/>
      <c r="J40" s="84"/>
      <c r="K40" s="84"/>
      <c r="L40" s="84">
        <v>0</v>
      </c>
      <c r="M40" s="84"/>
      <c r="N40" s="84"/>
      <c r="O40" s="84"/>
      <c r="P40" s="84"/>
      <c r="Q40" s="84"/>
      <c r="R40" s="84">
        <f t="shared" si="2"/>
        <v>30</v>
      </c>
      <c r="S40" s="85">
        <v>0</v>
      </c>
      <c r="T40" s="85">
        <v>5</v>
      </c>
      <c r="U40" s="85">
        <v>24</v>
      </c>
      <c r="V40" s="85">
        <v>0</v>
      </c>
      <c r="W40" s="85"/>
      <c r="X40" s="85">
        <v>29</v>
      </c>
      <c r="Y40" s="85"/>
      <c r="Z40" s="85"/>
      <c r="AA40" s="85"/>
      <c r="AB40" s="85">
        <v>0</v>
      </c>
      <c r="AC40" s="85"/>
      <c r="AD40" s="85"/>
      <c r="AE40" s="85"/>
      <c r="AF40" s="85"/>
      <c r="AG40" s="85"/>
      <c r="AH40" s="85">
        <f t="shared" si="3"/>
        <v>29</v>
      </c>
      <c r="AI40" s="86">
        <f t="shared" si="0"/>
        <v>0</v>
      </c>
      <c r="AJ40" s="86"/>
      <c r="AL40" s="81">
        <f t="shared" si="4"/>
        <v>0</v>
      </c>
      <c r="AM40" s="81">
        <f t="shared" si="5"/>
        <v>5</v>
      </c>
      <c r="AN40" s="81">
        <f t="shared" si="6"/>
        <v>25</v>
      </c>
      <c r="AO40" s="81">
        <f t="shared" si="7"/>
        <v>0</v>
      </c>
      <c r="AP40" s="81">
        <f t="shared" si="8"/>
        <v>0</v>
      </c>
      <c r="AQ40" s="81">
        <f t="shared" si="17"/>
        <v>30</v>
      </c>
      <c r="AR40" s="82">
        <f t="shared" si="9"/>
        <v>0</v>
      </c>
      <c r="AS40" s="82">
        <f t="shared" si="10"/>
        <v>5</v>
      </c>
      <c r="AT40" s="82">
        <f t="shared" si="11"/>
        <v>24</v>
      </c>
      <c r="AU40" s="82">
        <f t="shared" si="12"/>
        <v>0</v>
      </c>
      <c r="AV40" s="82">
        <f t="shared" si="13"/>
        <v>0</v>
      </c>
      <c r="AW40" s="82">
        <f t="shared" si="14"/>
        <v>29</v>
      </c>
    </row>
    <row r="41" spans="1:49" ht="20.25" customHeight="1" x14ac:dyDescent="0.3">
      <c r="A41" s="83" t="s">
        <v>44</v>
      </c>
      <c r="B41" s="83"/>
      <c r="C41" s="84"/>
      <c r="D41" s="84"/>
      <c r="E41" s="84"/>
      <c r="F41" s="84"/>
      <c r="G41" s="84"/>
      <c r="H41" s="84">
        <v>0</v>
      </c>
      <c r="I41" s="84"/>
      <c r="J41" s="84"/>
      <c r="K41" s="84"/>
      <c r="L41" s="84"/>
      <c r="M41" s="84"/>
      <c r="N41" s="84"/>
      <c r="O41" s="84"/>
      <c r="P41" s="84"/>
      <c r="Q41" s="84"/>
      <c r="R41" s="84">
        <f t="shared" si="2"/>
        <v>0</v>
      </c>
      <c r="S41" s="85"/>
      <c r="T41" s="85"/>
      <c r="U41" s="85"/>
      <c r="V41" s="85"/>
      <c r="W41" s="85"/>
      <c r="X41" s="85">
        <v>0</v>
      </c>
      <c r="Y41" s="85"/>
      <c r="Z41" s="85"/>
      <c r="AA41" s="85"/>
      <c r="AB41" s="85"/>
      <c r="AC41" s="85"/>
      <c r="AD41" s="85"/>
      <c r="AE41" s="85"/>
      <c r="AF41" s="85"/>
      <c r="AG41" s="85"/>
      <c r="AH41" s="85">
        <f t="shared" si="3"/>
        <v>0</v>
      </c>
      <c r="AI41" s="86">
        <f t="shared" si="0"/>
        <v>0</v>
      </c>
      <c r="AJ41" s="86">
        <f>SUM(AI41:AI41)</f>
        <v>0</v>
      </c>
      <c r="AL41" s="81">
        <f t="shared" si="4"/>
        <v>0</v>
      </c>
      <c r="AM41" s="81">
        <f t="shared" si="5"/>
        <v>0</v>
      </c>
      <c r="AN41" s="81">
        <f t="shared" si="6"/>
        <v>0</v>
      </c>
      <c r="AO41" s="81">
        <f t="shared" si="7"/>
        <v>0</v>
      </c>
      <c r="AP41" s="81">
        <f t="shared" si="8"/>
        <v>0</v>
      </c>
      <c r="AQ41" s="81">
        <f>R41</f>
        <v>0</v>
      </c>
      <c r="AR41" s="82">
        <f t="shared" si="9"/>
        <v>0</v>
      </c>
      <c r="AS41" s="82">
        <f t="shared" si="10"/>
        <v>0</v>
      </c>
      <c r="AT41" s="82">
        <f t="shared" si="11"/>
        <v>0</v>
      </c>
      <c r="AU41" s="82">
        <f t="shared" si="12"/>
        <v>0</v>
      </c>
      <c r="AV41" s="82">
        <f t="shared" si="13"/>
        <v>0</v>
      </c>
      <c r="AW41" s="82">
        <f>AH41</f>
        <v>0</v>
      </c>
    </row>
    <row r="43" spans="1:49" ht="20.25" customHeight="1" x14ac:dyDescent="0.3">
      <c r="C43" s="88" t="s">
        <v>51</v>
      </c>
      <c r="D43" s="88" t="s">
        <v>50</v>
      </c>
      <c r="E43" s="88" t="s">
        <v>73</v>
      </c>
    </row>
    <row r="44" spans="1:49" ht="20.25" customHeight="1" x14ac:dyDescent="0.3">
      <c r="A44" s="89" t="s">
        <v>75</v>
      </c>
      <c r="B44" s="90"/>
      <c r="C44" s="91">
        <f>SUM(H8:H41)</f>
        <v>1625</v>
      </c>
      <c r="D44" s="91">
        <f>SUM(X8:X41)</f>
        <v>1421.0666666666666</v>
      </c>
      <c r="E44" s="92">
        <f t="shared" ref="E44:E51" si="18">AVERAGE(C44:D44)</f>
        <v>1523.0333333333333</v>
      </c>
      <c r="G44" s="93">
        <f>C44*15</f>
        <v>24375</v>
      </c>
      <c r="H44" s="93">
        <f>D44*15</f>
        <v>21316</v>
      </c>
      <c r="J44" s="93"/>
      <c r="K44" s="93"/>
    </row>
    <row r="45" spans="1:49" ht="20.25" customHeight="1" x14ac:dyDescent="0.3">
      <c r="A45" s="89" t="s">
        <v>70</v>
      </c>
      <c r="B45" s="90"/>
      <c r="C45" s="91">
        <f>4*8</f>
        <v>32</v>
      </c>
      <c r="D45" s="91">
        <f>4*8</f>
        <v>32</v>
      </c>
      <c r="E45" s="92">
        <f t="shared" si="18"/>
        <v>32</v>
      </c>
      <c r="G45" s="93" t="e">
        <f>#REF!</f>
        <v>#REF!</v>
      </c>
      <c r="H45" s="93" t="e">
        <f>#REF!</f>
        <v>#REF!</v>
      </c>
      <c r="J45" s="93"/>
      <c r="K45" s="93"/>
    </row>
    <row r="46" spans="1:49" ht="20.25" customHeight="1" x14ac:dyDescent="0.3">
      <c r="A46" s="89" t="s">
        <v>77</v>
      </c>
      <c r="B46" s="90"/>
      <c r="C46" s="91">
        <f>10*14</f>
        <v>140</v>
      </c>
      <c r="D46" s="91">
        <f>10*14</f>
        <v>140</v>
      </c>
      <c r="E46" s="92">
        <f t="shared" si="18"/>
        <v>140</v>
      </c>
    </row>
    <row r="47" spans="1:49" ht="20.25" customHeight="1" x14ac:dyDescent="0.3">
      <c r="A47" s="89" t="s">
        <v>127</v>
      </c>
      <c r="B47" s="90"/>
      <c r="C47" s="91">
        <f>1*4</f>
        <v>4</v>
      </c>
      <c r="D47" s="91">
        <f>1*4</f>
        <v>4</v>
      </c>
      <c r="E47" s="92">
        <f t="shared" si="18"/>
        <v>4</v>
      </c>
    </row>
    <row r="48" spans="1:49" ht="20.25" customHeight="1" x14ac:dyDescent="0.3">
      <c r="A48" s="89" t="s">
        <v>128</v>
      </c>
      <c r="B48" s="90"/>
      <c r="C48" s="91">
        <f>2*16</f>
        <v>32</v>
      </c>
      <c r="D48" s="91">
        <f>2*16</f>
        <v>32</v>
      </c>
      <c r="E48" s="92">
        <f t="shared" si="18"/>
        <v>32</v>
      </c>
    </row>
    <row r="49" spans="1:5" ht="20.25" customHeight="1" x14ac:dyDescent="0.3">
      <c r="A49" s="89" t="s">
        <v>71</v>
      </c>
      <c r="B49" s="90"/>
      <c r="C49" s="91">
        <f>C44-C45-C46-C47-C48</f>
        <v>1417</v>
      </c>
      <c r="D49" s="91">
        <f>D44-D45-D46-D47-D48</f>
        <v>1213.0666666666666</v>
      </c>
      <c r="E49" s="92">
        <f t="shared" si="18"/>
        <v>1315.0333333333333</v>
      </c>
    </row>
    <row r="50" spans="1:5" ht="20.25" customHeight="1" x14ac:dyDescent="0.3">
      <c r="A50" s="89" t="s">
        <v>72</v>
      </c>
      <c r="B50" s="90"/>
      <c r="C50" s="91">
        <f>C49/20</f>
        <v>70.849999999999994</v>
      </c>
      <c r="D50" s="91">
        <f>D49/20</f>
        <v>60.653333333333329</v>
      </c>
      <c r="E50" s="92">
        <f t="shared" si="18"/>
        <v>65.751666666666665</v>
      </c>
    </row>
    <row r="51" spans="1:5" ht="20.25" customHeight="1" x14ac:dyDescent="0.3">
      <c r="A51" s="89" t="s">
        <v>74</v>
      </c>
      <c r="B51" s="90"/>
      <c r="C51" s="91">
        <f>C50+1+4+10+1+3</f>
        <v>89.85</v>
      </c>
      <c r="D51" s="91">
        <f>D50+1+4+10+1+3</f>
        <v>79.653333333333336</v>
      </c>
      <c r="E51" s="92">
        <f t="shared" si="18"/>
        <v>84.751666666666665</v>
      </c>
    </row>
  </sheetData>
  <mergeCells count="3">
    <mergeCell ref="C5:R5"/>
    <mergeCell ref="S5:AH5"/>
    <mergeCell ref="AI6:AJ6"/>
  </mergeCells>
  <phoneticPr fontId="1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colBreaks count="1" manualBreakCount="1">
    <brk id="1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65"/>
  <sheetViews>
    <sheetView workbookViewId="0">
      <selection activeCell="A3" sqref="A3:XFD34"/>
    </sheetView>
  </sheetViews>
  <sheetFormatPr defaultColWidth="8.81640625" defaultRowHeight="13" x14ac:dyDescent="0.3"/>
  <cols>
    <col min="1" max="1" width="7.6328125" style="8" customWidth="1"/>
    <col min="2" max="2" width="5.36328125" style="22" bestFit="1" customWidth="1"/>
    <col min="3" max="4" width="8.81640625" style="24"/>
  </cols>
  <sheetData>
    <row r="1" spans="1:7" ht="12.5" x14ac:dyDescent="0.25">
      <c r="A1" s="225" t="s">
        <v>4</v>
      </c>
      <c r="B1" s="214" t="s">
        <v>93</v>
      </c>
      <c r="C1" s="222" t="s">
        <v>160</v>
      </c>
      <c r="D1" s="222"/>
    </row>
    <row r="2" spans="1:7" ht="12.5" x14ac:dyDescent="0.25">
      <c r="A2" s="230"/>
      <c r="B2" s="214"/>
      <c r="C2" s="32" t="s">
        <v>51</v>
      </c>
      <c r="D2" s="32" t="s">
        <v>50</v>
      </c>
      <c r="G2" s="132" t="s">
        <v>268</v>
      </c>
    </row>
    <row r="3" spans="1:7" s="28" customFormat="1" ht="12.5" x14ac:dyDescent="0.25">
      <c r="A3" s="7"/>
      <c r="B3" s="29"/>
      <c r="C3" s="39"/>
      <c r="D3" s="39"/>
    </row>
    <row r="4" spans="1:7" s="28" customFormat="1" ht="12.5" x14ac:dyDescent="0.25">
      <c r="A4" s="7"/>
      <c r="B4" s="29"/>
      <c r="C4" s="39"/>
      <c r="D4" s="39"/>
    </row>
    <row r="5" spans="1:7" s="28" customFormat="1" ht="12.5" x14ac:dyDescent="0.25">
      <c r="A5" s="7"/>
      <c r="B5" s="29"/>
      <c r="C5" s="31"/>
      <c r="D5" s="31"/>
    </row>
    <row r="6" spans="1:7" s="28" customFormat="1" ht="12.5" x14ac:dyDescent="0.25">
      <c r="A6" s="7"/>
      <c r="B6" s="29"/>
      <c r="C6" s="31"/>
      <c r="D6" s="31"/>
    </row>
    <row r="7" spans="1:7" s="28" customFormat="1" ht="12.5" x14ac:dyDescent="0.25">
      <c r="A7" s="7"/>
      <c r="B7" s="29"/>
      <c r="C7" s="39"/>
      <c r="D7" s="39"/>
    </row>
    <row r="8" spans="1:7" s="28" customFormat="1" ht="12.5" x14ac:dyDescent="0.25">
      <c r="A8" s="7"/>
      <c r="B8" s="29"/>
      <c r="C8" s="39"/>
      <c r="D8" s="39"/>
    </row>
    <row r="9" spans="1:7" s="28" customFormat="1" ht="12.5" x14ac:dyDescent="0.25">
      <c r="A9" s="7"/>
      <c r="B9" s="29"/>
      <c r="C9" s="31"/>
      <c r="D9" s="31"/>
    </row>
    <row r="10" spans="1:7" s="28" customFormat="1" ht="12.5" x14ac:dyDescent="0.25">
      <c r="A10" s="7"/>
      <c r="B10" s="29"/>
      <c r="C10" s="31"/>
      <c r="D10" s="31"/>
    </row>
    <row r="11" spans="1:7" s="28" customFormat="1" ht="12.5" x14ac:dyDescent="0.25">
      <c r="A11" s="7"/>
      <c r="B11" s="29"/>
      <c r="C11" s="31"/>
      <c r="D11" s="31"/>
    </row>
    <row r="12" spans="1:7" s="28" customFormat="1" ht="12.5" x14ac:dyDescent="0.25">
      <c r="A12" s="7"/>
      <c r="B12" s="29"/>
      <c r="C12" s="31"/>
      <c r="D12" s="31"/>
    </row>
    <row r="13" spans="1:7" s="28" customFormat="1" ht="12.5" x14ac:dyDescent="0.25">
      <c r="A13" s="7"/>
      <c r="B13" s="29"/>
      <c r="C13" s="31"/>
      <c r="D13" s="31"/>
    </row>
    <row r="14" spans="1:7" s="28" customFormat="1" ht="12.5" x14ac:dyDescent="0.25">
      <c r="A14" s="7"/>
      <c r="B14" s="29"/>
      <c r="C14" s="31"/>
      <c r="D14" s="31"/>
    </row>
    <row r="15" spans="1:7" s="28" customFormat="1" ht="12.5" x14ac:dyDescent="0.25">
      <c r="A15" s="7"/>
      <c r="B15" s="29"/>
      <c r="C15" s="31"/>
      <c r="D15" s="31"/>
    </row>
    <row r="16" spans="1:7" s="28" customFormat="1" ht="12.5" x14ac:dyDescent="0.25">
      <c r="A16" s="7"/>
      <c r="B16" s="29"/>
      <c r="C16" s="31"/>
      <c r="D16" s="31"/>
    </row>
    <row r="17" spans="1:4" s="28" customFormat="1" ht="12.5" x14ac:dyDescent="0.25">
      <c r="A17" s="7"/>
      <c r="B17" s="29"/>
      <c r="C17" s="31"/>
      <c r="D17" s="31"/>
    </row>
    <row r="18" spans="1:4" s="28" customFormat="1" ht="12.5" x14ac:dyDescent="0.25">
      <c r="A18" s="7"/>
      <c r="B18" s="29"/>
      <c r="C18" s="31"/>
      <c r="D18" s="31"/>
    </row>
    <row r="19" spans="1:4" s="28" customFormat="1" ht="12.5" x14ac:dyDescent="0.25">
      <c r="A19" s="7"/>
      <c r="B19" s="29"/>
      <c r="C19" s="39"/>
      <c r="D19" s="39"/>
    </row>
    <row r="20" spans="1:4" s="28" customFormat="1" ht="12.5" x14ac:dyDescent="0.25">
      <c r="A20" s="7"/>
      <c r="B20" s="29"/>
      <c r="C20" s="39"/>
      <c r="D20" s="39"/>
    </row>
    <row r="21" spans="1:4" s="28" customFormat="1" ht="12.5" x14ac:dyDescent="0.25">
      <c r="C21" s="31"/>
      <c r="D21" s="31"/>
    </row>
    <row r="22" spans="1:4" s="28" customFormat="1" ht="12.5" x14ac:dyDescent="0.25">
      <c r="C22" s="31"/>
      <c r="D22" s="31"/>
    </row>
    <row r="23" spans="1:4" s="28" customFormat="1" ht="12.5" x14ac:dyDescent="0.25">
      <c r="A23" s="7"/>
      <c r="B23" s="29"/>
      <c r="C23" s="31"/>
      <c r="D23" s="31"/>
    </row>
    <row r="24" spans="1:4" s="28" customFormat="1" ht="12.5" x14ac:dyDescent="0.25">
      <c r="A24" s="7"/>
      <c r="B24" s="29"/>
      <c r="C24" s="31"/>
      <c r="D24" s="31"/>
    </row>
    <row r="25" spans="1:4" s="28" customFormat="1" ht="12.5" x14ac:dyDescent="0.25">
      <c r="A25" s="7"/>
      <c r="B25" s="29"/>
      <c r="C25" s="31"/>
      <c r="D25" s="31"/>
    </row>
    <row r="26" spans="1:4" s="28" customFormat="1" ht="12.5" x14ac:dyDescent="0.25">
      <c r="A26" s="7"/>
      <c r="B26" s="29"/>
      <c r="C26" s="31"/>
      <c r="D26" s="31"/>
    </row>
    <row r="27" spans="1:4" s="28" customFormat="1" ht="12.5" x14ac:dyDescent="0.25">
      <c r="A27" s="7"/>
      <c r="B27" s="29"/>
      <c r="C27" s="31"/>
      <c r="D27" s="31"/>
    </row>
    <row r="28" spans="1:4" s="28" customFormat="1" ht="12.5" x14ac:dyDescent="0.25">
      <c r="A28" s="7"/>
      <c r="B28" s="29"/>
      <c r="C28" s="31"/>
      <c r="D28" s="31"/>
    </row>
    <row r="29" spans="1:4" s="28" customFormat="1" ht="12.5" x14ac:dyDescent="0.25">
      <c r="A29" s="7"/>
      <c r="B29" s="29"/>
      <c r="C29" s="31"/>
      <c r="D29" s="31"/>
    </row>
    <row r="30" spans="1:4" s="28" customFormat="1" ht="12.5" x14ac:dyDescent="0.25">
      <c r="A30" s="7"/>
      <c r="B30" s="29"/>
      <c r="C30" s="31"/>
      <c r="D30" s="31"/>
    </row>
    <row r="31" spans="1:4" s="28" customFormat="1" ht="12.5" x14ac:dyDescent="0.25">
      <c r="A31" s="7"/>
      <c r="B31" s="29"/>
      <c r="C31" s="31"/>
      <c r="D31" s="31"/>
    </row>
    <row r="32" spans="1:4" s="28" customFormat="1" ht="12.5" x14ac:dyDescent="0.25">
      <c r="A32" s="7"/>
      <c r="B32" s="29"/>
      <c r="C32" s="31"/>
      <c r="D32" s="31"/>
    </row>
    <row r="33" spans="1:4" s="28" customFormat="1" ht="12.5" x14ac:dyDescent="0.25">
      <c r="A33" s="7"/>
      <c r="B33" s="29"/>
      <c r="C33" s="31"/>
      <c r="D33" s="31"/>
    </row>
    <row r="34" spans="1:4" s="28" customFormat="1" ht="12.5" x14ac:dyDescent="0.25">
      <c r="A34" s="7"/>
      <c r="B34" s="29"/>
      <c r="C34" s="31"/>
      <c r="D34" s="31"/>
    </row>
    <row r="35" spans="1:4" s="28" customFormat="1" ht="12.5" x14ac:dyDescent="0.25">
      <c r="A35" s="7"/>
      <c r="B35" s="29"/>
      <c r="C35" s="31"/>
      <c r="D35" s="31"/>
    </row>
    <row r="36" spans="1:4" s="28" customFormat="1" ht="12.5" x14ac:dyDescent="0.25">
      <c r="A36" s="7"/>
      <c r="B36" s="29"/>
      <c r="C36" s="31"/>
      <c r="D36" s="31"/>
    </row>
    <row r="37" spans="1:4" s="28" customFormat="1" ht="12.5" x14ac:dyDescent="0.25">
      <c r="A37" s="7"/>
      <c r="B37" s="29"/>
      <c r="C37" s="31"/>
      <c r="D37" s="31"/>
    </row>
    <row r="38" spans="1:4" s="28" customFormat="1" ht="12.5" x14ac:dyDescent="0.25">
      <c r="A38" s="7"/>
      <c r="B38" s="29"/>
      <c r="C38" s="31"/>
      <c r="D38" s="31"/>
    </row>
    <row r="39" spans="1:4" s="28" customFormat="1" ht="12.5" x14ac:dyDescent="0.25">
      <c r="A39" s="7"/>
      <c r="B39" s="29"/>
      <c r="C39" s="31"/>
      <c r="D39" s="31"/>
    </row>
    <row r="40" spans="1:4" s="28" customFormat="1" ht="12.5" x14ac:dyDescent="0.25">
      <c r="A40" s="7"/>
      <c r="B40" s="29"/>
      <c r="C40" s="31"/>
      <c r="D40" s="31"/>
    </row>
    <row r="41" spans="1:4" s="28" customFormat="1" ht="12.5" x14ac:dyDescent="0.25">
      <c r="A41" s="7"/>
      <c r="B41" s="29"/>
      <c r="C41" s="31"/>
      <c r="D41" s="31"/>
    </row>
    <row r="42" spans="1:4" s="28" customFormat="1" ht="12.5" x14ac:dyDescent="0.25">
      <c r="A42" s="7"/>
      <c r="B42" s="29"/>
      <c r="C42" s="31"/>
      <c r="D42" s="31"/>
    </row>
    <row r="43" spans="1:4" s="28" customFormat="1" ht="12.5" x14ac:dyDescent="0.25">
      <c r="A43" s="7"/>
      <c r="B43" s="29"/>
      <c r="C43" s="31"/>
      <c r="D43" s="31"/>
    </row>
    <row r="44" spans="1:4" s="28" customFormat="1" ht="12.5" x14ac:dyDescent="0.25">
      <c r="A44" s="7"/>
      <c r="B44" s="29"/>
      <c r="C44" s="31"/>
      <c r="D44" s="31"/>
    </row>
    <row r="45" spans="1:4" s="28" customFormat="1" ht="12.5" x14ac:dyDescent="0.25">
      <c r="A45" s="7"/>
      <c r="B45" s="29"/>
      <c r="C45" s="31"/>
      <c r="D45" s="31"/>
    </row>
    <row r="46" spans="1:4" s="28" customFormat="1" ht="12.5" x14ac:dyDescent="0.25">
      <c r="A46" s="7"/>
      <c r="B46" s="29"/>
      <c r="C46" s="31"/>
      <c r="D46" s="31"/>
    </row>
    <row r="47" spans="1:4" s="28" customFormat="1" ht="12.5" x14ac:dyDescent="0.25">
      <c r="A47" s="7"/>
      <c r="B47" s="29"/>
      <c r="C47" s="31"/>
      <c r="D47" s="31"/>
    </row>
    <row r="48" spans="1:4" s="28" customFormat="1" ht="12.5" x14ac:dyDescent="0.25">
      <c r="A48" s="7"/>
      <c r="B48" s="29"/>
      <c r="C48" s="31"/>
      <c r="D48" s="31"/>
    </row>
    <row r="49" spans="1:4" s="28" customFormat="1" ht="12.5" x14ac:dyDescent="0.25">
      <c r="A49" s="7"/>
      <c r="B49" s="29"/>
      <c r="C49" s="31"/>
      <c r="D49" s="31"/>
    </row>
    <row r="50" spans="1:4" s="28" customFormat="1" ht="12.5" x14ac:dyDescent="0.25">
      <c r="A50" s="7"/>
      <c r="B50" s="29"/>
      <c r="C50" s="31"/>
      <c r="D50" s="31"/>
    </row>
    <row r="51" spans="1:4" s="28" customFormat="1" ht="12.5" x14ac:dyDescent="0.25">
      <c r="A51" s="7"/>
      <c r="B51" s="29"/>
      <c r="C51" s="31"/>
      <c r="D51" s="31"/>
    </row>
    <row r="52" spans="1:4" s="28" customFormat="1" ht="12.5" x14ac:dyDescent="0.25">
      <c r="A52" s="7"/>
      <c r="B52" s="29"/>
      <c r="C52" s="31"/>
      <c r="D52" s="31"/>
    </row>
    <row r="53" spans="1:4" s="28" customFormat="1" ht="12.5" x14ac:dyDescent="0.25">
      <c r="A53" s="7"/>
      <c r="B53" s="30"/>
      <c r="C53" s="31"/>
      <c r="D53" s="31"/>
    </row>
    <row r="54" spans="1:4" s="28" customFormat="1" ht="12.5" x14ac:dyDescent="0.25">
      <c r="A54" s="7"/>
      <c r="B54" s="30"/>
      <c r="C54" s="31"/>
      <c r="D54" s="31"/>
    </row>
    <row r="55" spans="1:4" s="28" customFormat="1" ht="12.5" x14ac:dyDescent="0.25">
      <c r="A55" s="7"/>
      <c r="B55" s="30"/>
      <c r="C55" s="31"/>
      <c r="D55" s="31"/>
    </row>
    <row r="56" spans="1:4" s="28" customFormat="1" ht="12.5" x14ac:dyDescent="0.25">
      <c r="A56" s="7"/>
      <c r="B56" s="30"/>
      <c r="C56" s="31"/>
      <c r="D56" s="31"/>
    </row>
    <row r="57" spans="1:4" s="28" customFormat="1" ht="12.5" x14ac:dyDescent="0.25">
      <c r="A57" s="7"/>
      <c r="B57" s="30"/>
      <c r="C57" s="31"/>
      <c r="D57" s="31"/>
    </row>
    <row r="58" spans="1:4" s="28" customFormat="1" ht="12.5" x14ac:dyDescent="0.25">
      <c r="A58" s="7"/>
      <c r="B58" s="30"/>
      <c r="C58" s="31"/>
      <c r="D58" s="31"/>
    </row>
    <row r="59" spans="1:4" s="28" customFormat="1" ht="12.5" x14ac:dyDescent="0.25">
      <c r="A59" s="7"/>
      <c r="B59" s="30"/>
      <c r="C59" s="31"/>
      <c r="D59" s="31"/>
    </row>
    <row r="60" spans="1:4" s="28" customFormat="1" ht="12.5" x14ac:dyDescent="0.25">
      <c r="A60" s="7"/>
      <c r="B60" s="30"/>
      <c r="C60" s="31"/>
      <c r="D60" s="31"/>
    </row>
    <row r="61" spans="1:4" s="28" customFormat="1" ht="12.5" x14ac:dyDescent="0.25">
      <c r="A61" s="7"/>
      <c r="B61" s="29"/>
      <c r="C61" s="31"/>
      <c r="D61" s="31"/>
    </row>
    <row r="62" spans="1:4" s="28" customFormat="1" ht="12.5" x14ac:dyDescent="0.25">
      <c r="A62" s="7"/>
      <c r="B62" s="29"/>
      <c r="C62" s="31"/>
      <c r="D62" s="31"/>
    </row>
    <row r="63" spans="1:4" s="28" customFormat="1" ht="12.5" x14ac:dyDescent="0.25">
      <c r="A63" s="7"/>
      <c r="B63" s="29"/>
      <c r="C63" s="31"/>
      <c r="D63" s="31"/>
    </row>
    <row r="64" spans="1:4" s="28" customFormat="1" ht="12.5" x14ac:dyDescent="0.25">
      <c r="A64" s="7"/>
      <c r="B64" s="29"/>
      <c r="C64" s="31"/>
      <c r="D64" s="31"/>
    </row>
    <row r="65" spans="1:4" s="28" customFormat="1" ht="12.5" x14ac:dyDescent="0.25">
      <c r="A65" s="7"/>
      <c r="B65" s="29"/>
      <c r="C65" s="31"/>
      <c r="D65" s="31"/>
    </row>
    <row r="66" spans="1:4" s="28" customFormat="1" ht="12.5" x14ac:dyDescent="0.25">
      <c r="A66" s="7"/>
      <c r="B66" s="29"/>
      <c r="C66" s="31"/>
      <c r="D66" s="31"/>
    </row>
    <row r="67" spans="1:4" s="28" customFormat="1" ht="12.5" x14ac:dyDescent="0.25">
      <c r="A67" s="7"/>
      <c r="B67" s="29"/>
      <c r="C67" s="31"/>
      <c r="D67" s="31"/>
    </row>
    <row r="68" spans="1:4" s="28" customFormat="1" ht="12.5" x14ac:dyDescent="0.25">
      <c r="A68" s="7"/>
      <c r="B68" s="29"/>
      <c r="C68" s="31"/>
      <c r="D68" s="31"/>
    </row>
    <row r="69" spans="1:4" s="28" customFormat="1" ht="12.5" x14ac:dyDescent="0.25">
      <c r="A69" s="7"/>
      <c r="B69" s="29"/>
      <c r="C69" s="31"/>
      <c r="D69" s="31"/>
    </row>
    <row r="70" spans="1:4" s="28" customFormat="1" ht="12.5" x14ac:dyDescent="0.25">
      <c r="A70" s="7"/>
      <c r="B70" s="29"/>
      <c r="C70" s="31"/>
      <c r="D70" s="31"/>
    </row>
    <row r="71" spans="1:4" s="28" customFormat="1" ht="12.5" x14ac:dyDescent="0.25">
      <c r="A71" s="7"/>
      <c r="B71" s="29"/>
      <c r="C71" s="31"/>
      <c r="D71" s="31"/>
    </row>
    <row r="72" spans="1:4" s="28" customFormat="1" ht="12.5" x14ac:dyDescent="0.25">
      <c r="A72" s="7"/>
      <c r="B72" s="29"/>
      <c r="C72" s="31"/>
      <c r="D72" s="31"/>
    </row>
    <row r="73" spans="1:4" s="28" customFormat="1" ht="12.5" x14ac:dyDescent="0.25">
      <c r="A73" s="7"/>
      <c r="B73" s="29"/>
      <c r="C73" s="31"/>
      <c r="D73" s="31"/>
    </row>
    <row r="74" spans="1:4" s="28" customFormat="1" ht="12.5" x14ac:dyDescent="0.25">
      <c r="A74" s="7"/>
      <c r="B74" s="29"/>
      <c r="C74" s="31"/>
      <c r="D74" s="31"/>
    </row>
    <row r="75" spans="1:4" s="28" customFormat="1" ht="12.5" x14ac:dyDescent="0.25">
      <c r="A75" s="7"/>
      <c r="B75" s="29"/>
      <c r="C75" s="31"/>
      <c r="D75" s="31"/>
    </row>
    <row r="76" spans="1:4" s="28" customFormat="1" ht="12.5" x14ac:dyDescent="0.25">
      <c r="A76" s="7"/>
      <c r="B76" s="29"/>
      <c r="C76" s="31"/>
      <c r="D76" s="31"/>
    </row>
    <row r="77" spans="1:4" s="28" customFormat="1" ht="12.5" x14ac:dyDescent="0.25">
      <c r="A77" s="7"/>
      <c r="B77" s="29"/>
      <c r="C77" s="31"/>
      <c r="D77" s="31"/>
    </row>
    <row r="78" spans="1:4" s="28" customFormat="1" ht="12.5" x14ac:dyDescent="0.25">
      <c r="A78" s="7"/>
      <c r="B78" s="29"/>
      <c r="C78" s="31"/>
      <c r="D78" s="31"/>
    </row>
    <row r="79" spans="1:4" s="28" customFormat="1" ht="12.5" x14ac:dyDescent="0.25">
      <c r="A79" s="7"/>
      <c r="B79" s="29"/>
      <c r="C79" s="31"/>
      <c r="D79" s="31"/>
    </row>
    <row r="80" spans="1:4" s="28" customFormat="1" ht="12.5" x14ac:dyDescent="0.25">
      <c r="A80" s="7"/>
      <c r="B80" s="29"/>
      <c r="C80" s="31"/>
      <c r="D80" s="31"/>
    </row>
    <row r="81" spans="1:4" s="28" customFormat="1" ht="12.5" x14ac:dyDescent="0.25">
      <c r="A81" s="7"/>
      <c r="B81" s="29"/>
      <c r="C81" s="31"/>
      <c r="D81" s="31"/>
    </row>
    <row r="82" spans="1:4" s="28" customFormat="1" ht="12.5" x14ac:dyDescent="0.25">
      <c r="A82" s="7"/>
      <c r="B82" s="29"/>
      <c r="C82" s="31"/>
      <c r="D82" s="31"/>
    </row>
    <row r="83" spans="1:4" s="28" customFormat="1" ht="12.5" x14ac:dyDescent="0.25">
      <c r="A83" s="7"/>
      <c r="B83" s="29"/>
      <c r="C83" s="31"/>
      <c r="D83" s="31"/>
    </row>
    <row r="84" spans="1:4" s="28" customFormat="1" ht="12.5" x14ac:dyDescent="0.25">
      <c r="A84" s="7"/>
      <c r="B84" s="29"/>
      <c r="C84" s="31"/>
      <c r="D84" s="31"/>
    </row>
    <row r="85" spans="1:4" s="28" customFormat="1" ht="12.5" x14ac:dyDescent="0.25">
      <c r="A85" s="7"/>
      <c r="B85" s="29"/>
      <c r="C85" s="31"/>
      <c r="D85" s="31"/>
    </row>
    <row r="86" spans="1:4" s="28" customFormat="1" ht="12.5" x14ac:dyDescent="0.25">
      <c r="A86" s="7"/>
      <c r="B86" s="29"/>
      <c r="C86" s="31"/>
      <c r="D86" s="31"/>
    </row>
    <row r="87" spans="1:4" s="28" customFormat="1" ht="12.5" x14ac:dyDescent="0.25">
      <c r="A87" s="7"/>
      <c r="B87" s="29"/>
      <c r="C87" s="31"/>
      <c r="D87" s="31"/>
    </row>
    <row r="88" spans="1:4" s="28" customFormat="1" ht="12.5" x14ac:dyDescent="0.25">
      <c r="A88" s="7"/>
      <c r="B88" s="29"/>
      <c r="C88" s="31"/>
      <c r="D88" s="31"/>
    </row>
    <row r="89" spans="1:4" s="28" customFormat="1" ht="12.5" x14ac:dyDescent="0.25">
      <c r="A89" s="7"/>
      <c r="B89" s="29"/>
      <c r="C89" s="31"/>
      <c r="D89" s="31"/>
    </row>
    <row r="90" spans="1:4" s="28" customFormat="1" ht="12.5" x14ac:dyDescent="0.25">
      <c r="A90" s="7"/>
      <c r="B90" s="29"/>
      <c r="C90" s="31"/>
      <c r="D90" s="31"/>
    </row>
    <row r="91" spans="1:4" s="28" customFormat="1" ht="12.5" x14ac:dyDescent="0.25">
      <c r="A91" s="7"/>
      <c r="B91" s="29"/>
      <c r="C91" s="31"/>
      <c r="D91" s="31"/>
    </row>
    <row r="92" spans="1:4" s="28" customFormat="1" ht="12.5" x14ac:dyDescent="0.25">
      <c r="A92" s="7"/>
      <c r="B92" s="29"/>
      <c r="C92" s="31"/>
      <c r="D92" s="31"/>
    </row>
    <row r="93" spans="1:4" s="28" customFormat="1" ht="12.5" x14ac:dyDescent="0.25">
      <c r="A93" s="7"/>
      <c r="B93" s="29"/>
      <c r="C93" s="31"/>
      <c r="D93" s="31"/>
    </row>
    <row r="94" spans="1:4" s="28" customFormat="1" ht="12.5" x14ac:dyDescent="0.25">
      <c r="A94" s="7"/>
      <c r="B94" s="29"/>
      <c r="C94" s="31"/>
      <c r="D94" s="31"/>
    </row>
    <row r="95" spans="1:4" s="28" customFormat="1" ht="12.5" x14ac:dyDescent="0.25">
      <c r="A95" s="7"/>
      <c r="B95" s="29"/>
      <c r="C95" s="31"/>
      <c r="D95" s="31"/>
    </row>
    <row r="96" spans="1:4" s="28" customFormat="1" ht="12.5" x14ac:dyDescent="0.25">
      <c r="A96" s="7"/>
      <c r="B96" s="29"/>
      <c r="C96" s="31"/>
      <c r="D96" s="31"/>
    </row>
    <row r="97" spans="1:4" s="28" customFormat="1" ht="12.5" x14ac:dyDescent="0.25">
      <c r="A97" s="7"/>
      <c r="B97" s="29"/>
      <c r="C97" s="31"/>
      <c r="D97" s="31"/>
    </row>
    <row r="98" spans="1:4" s="28" customFormat="1" ht="12.5" x14ac:dyDescent="0.25">
      <c r="A98" s="7"/>
      <c r="B98" s="29"/>
      <c r="C98" s="31"/>
      <c r="D98" s="31"/>
    </row>
    <row r="99" spans="1:4" s="28" customFormat="1" ht="12.5" x14ac:dyDescent="0.25">
      <c r="A99" s="7"/>
      <c r="B99" s="29"/>
      <c r="C99" s="31"/>
      <c r="D99" s="31"/>
    </row>
    <row r="100" spans="1:4" s="28" customFormat="1" ht="12.5" x14ac:dyDescent="0.25">
      <c r="A100" s="7"/>
      <c r="B100" s="29"/>
      <c r="C100" s="31"/>
      <c r="D100" s="31"/>
    </row>
    <row r="101" spans="1:4" s="28" customFormat="1" ht="12.5" x14ac:dyDescent="0.25">
      <c r="A101" s="7"/>
      <c r="B101" s="29"/>
      <c r="C101" s="31"/>
      <c r="D101" s="31"/>
    </row>
    <row r="102" spans="1:4" s="28" customFormat="1" ht="12.5" x14ac:dyDescent="0.25">
      <c r="A102" s="7"/>
      <c r="B102" s="29"/>
      <c r="C102" s="31"/>
      <c r="D102" s="31"/>
    </row>
    <row r="103" spans="1:4" s="28" customFormat="1" ht="12.5" x14ac:dyDescent="0.25">
      <c r="A103" s="7"/>
      <c r="B103" s="29"/>
      <c r="C103" s="31"/>
      <c r="D103" s="31"/>
    </row>
    <row r="104" spans="1:4" s="28" customFormat="1" ht="12.5" x14ac:dyDescent="0.25">
      <c r="A104" s="7"/>
      <c r="B104" s="29"/>
      <c r="C104" s="31"/>
      <c r="D104" s="31"/>
    </row>
    <row r="105" spans="1:4" s="28" customFormat="1" ht="12.5" x14ac:dyDescent="0.25">
      <c r="A105" s="7"/>
      <c r="B105" s="29"/>
      <c r="C105" s="31"/>
      <c r="D105" s="31"/>
    </row>
    <row r="106" spans="1:4" s="28" customFormat="1" ht="12.5" x14ac:dyDescent="0.25">
      <c r="A106" s="7"/>
      <c r="B106" s="29"/>
      <c r="C106" s="31"/>
      <c r="D106" s="31"/>
    </row>
    <row r="107" spans="1:4" s="28" customFormat="1" ht="12.5" x14ac:dyDescent="0.25">
      <c r="A107" s="7"/>
      <c r="B107" s="29"/>
      <c r="C107" s="31"/>
      <c r="D107" s="31"/>
    </row>
    <row r="108" spans="1:4" s="28" customFormat="1" ht="12.5" x14ac:dyDescent="0.25">
      <c r="A108" s="7"/>
      <c r="B108" s="29"/>
      <c r="C108" s="31"/>
      <c r="D108" s="31"/>
    </row>
    <row r="109" spans="1:4" s="28" customFormat="1" ht="12.5" x14ac:dyDescent="0.25">
      <c r="A109" s="7"/>
      <c r="B109" s="29"/>
      <c r="C109" s="31"/>
      <c r="D109" s="31"/>
    </row>
    <row r="110" spans="1:4" s="28" customFormat="1" ht="12.5" x14ac:dyDescent="0.25">
      <c r="A110" s="7"/>
      <c r="B110" s="29"/>
      <c r="C110" s="31"/>
      <c r="D110" s="31"/>
    </row>
    <row r="111" spans="1:4" s="28" customFormat="1" ht="12.5" x14ac:dyDescent="0.25">
      <c r="A111" s="7"/>
      <c r="B111" s="29"/>
      <c r="C111" s="31"/>
      <c r="D111" s="31"/>
    </row>
    <row r="112" spans="1:4" s="28" customFormat="1" ht="12.5" x14ac:dyDescent="0.25">
      <c r="A112" s="7"/>
      <c r="B112" s="29"/>
      <c r="C112" s="31"/>
      <c r="D112" s="31"/>
    </row>
    <row r="113" spans="1:4" s="28" customFormat="1" ht="12.5" x14ac:dyDescent="0.25">
      <c r="A113" s="7"/>
      <c r="B113" s="29"/>
      <c r="C113" s="31"/>
      <c r="D113" s="31"/>
    </row>
    <row r="114" spans="1:4" s="28" customFormat="1" ht="12.5" x14ac:dyDescent="0.25">
      <c r="A114" s="7"/>
      <c r="B114" s="29"/>
      <c r="C114" s="31"/>
      <c r="D114" s="31"/>
    </row>
    <row r="115" spans="1:4" s="28" customFormat="1" ht="12.5" x14ac:dyDescent="0.25">
      <c r="A115" s="7"/>
      <c r="B115" s="29"/>
      <c r="C115" s="31"/>
      <c r="D115" s="31"/>
    </row>
    <row r="116" spans="1:4" s="28" customFormat="1" ht="12.5" x14ac:dyDescent="0.25">
      <c r="A116" s="7"/>
      <c r="B116" s="29"/>
      <c r="C116" s="31"/>
      <c r="D116" s="31"/>
    </row>
    <row r="117" spans="1:4" s="28" customFormat="1" ht="12.5" x14ac:dyDescent="0.25">
      <c r="A117" s="7"/>
      <c r="B117" s="29"/>
      <c r="C117" s="31"/>
      <c r="D117" s="31"/>
    </row>
    <row r="118" spans="1:4" s="28" customFormat="1" ht="12.5" x14ac:dyDescent="0.25">
      <c r="A118" s="7"/>
      <c r="B118" s="29"/>
      <c r="C118" s="31"/>
      <c r="D118" s="31"/>
    </row>
    <row r="119" spans="1:4" s="28" customFormat="1" ht="12.5" x14ac:dyDescent="0.25">
      <c r="A119" s="7"/>
      <c r="B119" s="29"/>
      <c r="C119" s="31"/>
      <c r="D119" s="31"/>
    </row>
    <row r="120" spans="1:4" s="28" customFormat="1" ht="12.5" x14ac:dyDescent="0.25">
      <c r="A120" s="7"/>
      <c r="B120" s="29"/>
      <c r="C120" s="31"/>
      <c r="D120" s="31"/>
    </row>
    <row r="121" spans="1:4" s="28" customFormat="1" ht="12.5" x14ac:dyDescent="0.25">
      <c r="A121" s="7"/>
      <c r="B121" s="29"/>
      <c r="C121" s="31"/>
      <c r="D121" s="31"/>
    </row>
    <row r="122" spans="1:4" s="28" customFormat="1" ht="12.5" x14ac:dyDescent="0.25">
      <c r="A122" s="7"/>
      <c r="B122" s="29"/>
      <c r="C122" s="31"/>
      <c r="D122" s="31"/>
    </row>
    <row r="123" spans="1:4" s="28" customFormat="1" ht="12.5" x14ac:dyDescent="0.25">
      <c r="A123" s="7"/>
      <c r="B123" s="29"/>
      <c r="C123" s="31"/>
      <c r="D123" s="31"/>
    </row>
    <row r="124" spans="1:4" s="28" customFormat="1" ht="12.5" x14ac:dyDescent="0.25">
      <c r="A124" s="7"/>
      <c r="B124" s="29"/>
      <c r="C124" s="31"/>
      <c r="D124" s="31"/>
    </row>
    <row r="125" spans="1:4" s="28" customFormat="1" ht="12.5" x14ac:dyDescent="0.25">
      <c r="A125" s="7"/>
      <c r="B125" s="29"/>
      <c r="C125" s="31"/>
      <c r="D125" s="31"/>
    </row>
    <row r="126" spans="1:4" s="28" customFormat="1" ht="12.5" x14ac:dyDescent="0.25">
      <c r="A126" s="7"/>
      <c r="B126" s="29"/>
      <c r="C126" s="31"/>
      <c r="D126" s="31"/>
    </row>
    <row r="127" spans="1:4" s="28" customFormat="1" ht="12.5" x14ac:dyDescent="0.25">
      <c r="A127" s="7"/>
      <c r="B127" s="29"/>
      <c r="C127" s="31"/>
      <c r="D127" s="31"/>
    </row>
    <row r="128" spans="1:4" s="28" customFormat="1" ht="12.5" x14ac:dyDescent="0.25">
      <c r="A128" s="7"/>
      <c r="B128" s="29"/>
      <c r="C128" s="31"/>
      <c r="D128" s="31"/>
    </row>
    <row r="129" spans="1:4" s="28" customFormat="1" ht="12.5" x14ac:dyDescent="0.25">
      <c r="A129" s="7"/>
      <c r="B129" s="29"/>
      <c r="C129" s="31"/>
      <c r="D129" s="31"/>
    </row>
    <row r="130" spans="1:4" s="28" customFormat="1" ht="12.5" x14ac:dyDescent="0.25">
      <c r="A130" s="7"/>
      <c r="B130" s="29"/>
      <c r="C130" s="31"/>
      <c r="D130" s="31"/>
    </row>
    <row r="131" spans="1:4" s="28" customFormat="1" ht="12.5" x14ac:dyDescent="0.25">
      <c r="A131" s="7"/>
      <c r="B131" s="29"/>
      <c r="C131" s="31"/>
      <c r="D131" s="31"/>
    </row>
    <row r="132" spans="1:4" s="28" customFormat="1" ht="12.5" x14ac:dyDescent="0.25">
      <c r="A132" s="7"/>
      <c r="B132" s="29"/>
      <c r="C132" s="31"/>
      <c r="D132" s="31"/>
    </row>
    <row r="133" spans="1:4" s="28" customFormat="1" ht="12.5" x14ac:dyDescent="0.25">
      <c r="A133" s="7"/>
      <c r="B133" s="29"/>
      <c r="C133" s="31"/>
      <c r="D133" s="31"/>
    </row>
    <row r="134" spans="1:4" s="28" customFormat="1" ht="12.5" x14ac:dyDescent="0.25">
      <c r="A134" s="7"/>
      <c r="B134" s="29"/>
      <c r="C134" s="31"/>
      <c r="D134" s="31"/>
    </row>
    <row r="135" spans="1:4" s="28" customFormat="1" ht="12.5" x14ac:dyDescent="0.25">
      <c r="A135" s="7"/>
      <c r="B135" s="29"/>
      <c r="C135" s="31"/>
      <c r="D135" s="31"/>
    </row>
    <row r="136" spans="1:4" s="28" customFormat="1" ht="12.5" x14ac:dyDescent="0.25">
      <c r="A136" s="7"/>
      <c r="B136" s="29"/>
      <c r="C136" s="31"/>
      <c r="D136" s="31"/>
    </row>
    <row r="137" spans="1:4" s="28" customFormat="1" ht="12.5" x14ac:dyDescent="0.25">
      <c r="A137" s="7"/>
      <c r="B137" s="29"/>
      <c r="C137" s="31"/>
      <c r="D137" s="31"/>
    </row>
    <row r="138" spans="1:4" s="28" customFormat="1" ht="12.5" x14ac:dyDescent="0.25">
      <c r="A138" s="7"/>
      <c r="B138" s="29"/>
      <c r="C138" s="31"/>
      <c r="D138" s="31"/>
    </row>
    <row r="139" spans="1:4" s="28" customFormat="1" ht="12.5" x14ac:dyDescent="0.25">
      <c r="A139" s="7"/>
      <c r="B139" s="29"/>
      <c r="C139" s="31"/>
      <c r="D139" s="31"/>
    </row>
    <row r="140" spans="1:4" s="28" customFormat="1" ht="12.5" x14ac:dyDescent="0.25">
      <c r="A140" s="7"/>
      <c r="B140" s="29"/>
      <c r="C140" s="31"/>
      <c r="D140" s="31"/>
    </row>
    <row r="141" spans="1:4" s="28" customFormat="1" ht="12.5" x14ac:dyDescent="0.25">
      <c r="A141" s="7"/>
      <c r="B141" s="29"/>
      <c r="C141" s="31"/>
      <c r="D141" s="31"/>
    </row>
    <row r="142" spans="1:4" s="28" customFormat="1" ht="12.5" x14ac:dyDescent="0.25">
      <c r="A142" s="7"/>
      <c r="B142" s="29"/>
      <c r="C142" s="31"/>
      <c r="D142" s="31"/>
    </row>
    <row r="143" spans="1:4" s="28" customFormat="1" ht="12.5" x14ac:dyDescent="0.25">
      <c r="A143" s="7"/>
      <c r="B143" s="29"/>
      <c r="C143" s="31"/>
      <c r="D143" s="31"/>
    </row>
    <row r="144" spans="1:4" s="28" customFormat="1" ht="12.5" x14ac:dyDescent="0.25">
      <c r="A144" s="7"/>
      <c r="B144" s="29"/>
      <c r="C144" s="31"/>
      <c r="D144" s="31"/>
    </row>
    <row r="145" spans="1:4" s="28" customFormat="1" ht="12.5" x14ac:dyDescent="0.25">
      <c r="A145" s="7"/>
      <c r="B145" s="29"/>
      <c r="C145" s="31"/>
      <c r="D145" s="31"/>
    </row>
    <row r="146" spans="1:4" s="28" customFormat="1" ht="12.5" x14ac:dyDescent="0.25">
      <c r="A146" s="7"/>
      <c r="B146" s="29"/>
      <c r="C146" s="31"/>
      <c r="D146" s="31"/>
    </row>
    <row r="147" spans="1:4" s="28" customFormat="1" ht="12.5" x14ac:dyDescent="0.25">
      <c r="A147" s="7"/>
      <c r="B147" s="29"/>
      <c r="C147" s="31"/>
      <c r="D147" s="31"/>
    </row>
    <row r="148" spans="1:4" s="28" customFormat="1" ht="12.5" x14ac:dyDescent="0.25">
      <c r="A148" s="7"/>
      <c r="B148" s="29"/>
      <c r="C148" s="31"/>
      <c r="D148" s="31"/>
    </row>
    <row r="149" spans="1:4" s="28" customFormat="1" ht="12.5" x14ac:dyDescent="0.25">
      <c r="A149" s="7"/>
      <c r="B149" s="29"/>
      <c r="C149" s="31"/>
      <c r="D149" s="31"/>
    </row>
    <row r="150" spans="1:4" s="28" customFormat="1" ht="12.5" x14ac:dyDescent="0.25">
      <c r="A150" s="7"/>
      <c r="B150" s="29"/>
      <c r="C150" s="31"/>
      <c r="D150" s="31"/>
    </row>
    <row r="151" spans="1:4" s="28" customFormat="1" ht="12.5" x14ac:dyDescent="0.25">
      <c r="A151" s="7"/>
      <c r="B151" s="29"/>
      <c r="C151" s="31"/>
      <c r="D151" s="31"/>
    </row>
    <row r="152" spans="1:4" s="28" customFormat="1" ht="12.5" x14ac:dyDescent="0.25">
      <c r="A152" s="7"/>
      <c r="B152" s="29"/>
      <c r="C152" s="31"/>
      <c r="D152" s="31"/>
    </row>
    <row r="153" spans="1:4" s="28" customFormat="1" ht="12.5" x14ac:dyDescent="0.25">
      <c r="A153" s="7"/>
      <c r="B153" s="29"/>
      <c r="C153" s="31"/>
      <c r="D153" s="31"/>
    </row>
    <row r="154" spans="1:4" s="28" customFormat="1" ht="12.5" x14ac:dyDescent="0.25">
      <c r="A154" s="7"/>
      <c r="B154" s="29"/>
      <c r="C154" s="31"/>
      <c r="D154" s="31"/>
    </row>
    <row r="155" spans="1:4" s="28" customFormat="1" ht="12.5" x14ac:dyDescent="0.25">
      <c r="A155" s="7"/>
      <c r="B155" s="29"/>
      <c r="C155" s="31"/>
      <c r="D155" s="31"/>
    </row>
    <row r="156" spans="1:4" s="28" customFormat="1" ht="12.5" x14ac:dyDescent="0.25">
      <c r="A156" s="7"/>
      <c r="B156" s="29"/>
      <c r="C156" s="31"/>
      <c r="D156" s="31"/>
    </row>
    <row r="157" spans="1:4" s="28" customFormat="1" ht="12.5" x14ac:dyDescent="0.25">
      <c r="A157" s="7"/>
      <c r="B157" s="29"/>
      <c r="C157" s="31"/>
      <c r="D157" s="31"/>
    </row>
    <row r="158" spans="1:4" s="28" customFormat="1" ht="12.5" x14ac:dyDescent="0.25">
      <c r="A158" s="7"/>
      <c r="B158" s="29"/>
      <c r="C158" s="31"/>
      <c r="D158" s="31"/>
    </row>
    <row r="159" spans="1:4" s="28" customFormat="1" ht="12.5" x14ac:dyDescent="0.25">
      <c r="A159" s="7"/>
      <c r="B159" s="29"/>
      <c r="C159" s="31"/>
      <c r="D159" s="31"/>
    </row>
    <row r="160" spans="1:4" s="28" customFormat="1" ht="12.5" x14ac:dyDescent="0.25">
      <c r="A160" s="7"/>
      <c r="B160" s="29"/>
      <c r="C160" s="31"/>
      <c r="D160" s="31"/>
    </row>
    <row r="161" spans="1:4" s="28" customFormat="1" ht="12.5" x14ac:dyDescent="0.25">
      <c r="A161" s="7"/>
      <c r="B161" s="29"/>
      <c r="C161" s="31"/>
      <c r="D161" s="31"/>
    </row>
    <row r="162" spans="1:4" s="28" customFormat="1" ht="12.5" x14ac:dyDescent="0.25">
      <c r="A162" s="7"/>
      <c r="B162" s="29"/>
      <c r="C162" s="31"/>
      <c r="D162" s="31"/>
    </row>
    <row r="163" spans="1:4" s="28" customFormat="1" ht="12.5" x14ac:dyDescent="0.25">
      <c r="A163" s="7"/>
      <c r="B163" s="29"/>
      <c r="C163" s="31"/>
      <c r="D163" s="31"/>
    </row>
    <row r="164" spans="1:4" s="28" customFormat="1" ht="12.5" x14ac:dyDescent="0.25">
      <c r="A164" s="7"/>
      <c r="B164" s="12"/>
      <c r="C164" s="31"/>
      <c r="D164" s="31"/>
    </row>
    <row r="165" spans="1:4" s="28" customFormat="1" ht="12.5" x14ac:dyDescent="0.25">
      <c r="A165" s="7"/>
      <c r="B165" s="29"/>
      <c r="C165" s="31"/>
      <c r="D165" s="31"/>
    </row>
    <row r="166" spans="1:4" s="28" customFormat="1" ht="12.5" x14ac:dyDescent="0.25">
      <c r="A166" s="7"/>
      <c r="B166" s="29"/>
      <c r="C166" s="31"/>
      <c r="D166" s="31"/>
    </row>
    <row r="167" spans="1:4" s="28" customFormat="1" ht="12.5" x14ac:dyDescent="0.25">
      <c r="A167" s="7"/>
      <c r="B167" s="29"/>
      <c r="C167" s="31"/>
      <c r="D167" s="31"/>
    </row>
    <row r="168" spans="1:4" s="28" customFormat="1" ht="12.5" x14ac:dyDescent="0.25">
      <c r="A168" s="7"/>
      <c r="B168" s="29"/>
      <c r="C168" s="31"/>
      <c r="D168" s="31"/>
    </row>
    <row r="169" spans="1:4" s="28" customFormat="1" ht="12.5" x14ac:dyDescent="0.25">
      <c r="A169" s="7"/>
      <c r="B169" s="29"/>
      <c r="C169" s="31"/>
      <c r="D169" s="31"/>
    </row>
    <row r="170" spans="1:4" s="28" customFormat="1" ht="12.5" x14ac:dyDescent="0.25">
      <c r="A170" s="7"/>
      <c r="B170" s="29"/>
      <c r="C170" s="31"/>
      <c r="D170" s="31"/>
    </row>
    <row r="171" spans="1:4" s="28" customFormat="1" ht="12.5" x14ac:dyDescent="0.25">
      <c r="A171" s="7"/>
      <c r="B171" s="29"/>
      <c r="C171" s="31"/>
      <c r="D171" s="31"/>
    </row>
    <row r="172" spans="1:4" s="28" customFormat="1" ht="12.5" x14ac:dyDescent="0.25">
      <c r="A172" s="7"/>
      <c r="B172" s="29"/>
      <c r="C172" s="31"/>
      <c r="D172" s="31"/>
    </row>
    <row r="173" spans="1:4" s="28" customFormat="1" ht="12.5" x14ac:dyDescent="0.25">
      <c r="A173" s="7"/>
      <c r="B173" s="29"/>
      <c r="C173" s="31"/>
      <c r="D173" s="31"/>
    </row>
    <row r="174" spans="1:4" s="28" customFormat="1" ht="12.5" x14ac:dyDescent="0.25">
      <c r="A174" s="7"/>
      <c r="B174" s="29"/>
      <c r="C174" s="31"/>
      <c r="D174" s="31"/>
    </row>
    <row r="175" spans="1:4" s="28" customFormat="1" ht="12.5" x14ac:dyDescent="0.25">
      <c r="A175" s="7"/>
      <c r="B175" s="29"/>
      <c r="C175" s="31"/>
      <c r="D175" s="31"/>
    </row>
    <row r="176" spans="1:4" s="28" customFormat="1" ht="12.5" x14ac:dyDescent="0.25">
      <c r="A176" s="7"/>
      <c r="B176" s="29"/>
      <c r="C176" s="31"/>
      <c r="D176" s="31"/>
    </row>
    <row r="177" spans="1:4" s="28" customFormat="1" ht="12.5" x14ac:dyDescent="0.25">
      <c r="A177" s="7"/>
      <c r="B177" s="29"/>
      <c r="C177" s="31"/>
      <c r="D177" s="31"/>
    </row>
    <row r="178" spans="1:4" s="28" customFormat="1" ht="12.5" x14ac:dyDescent="0.25">
      <c r="A178" s="7"/>
      <c r="B178" s="29"/>
      <c r="C178" s="31"/>
      <c r="D178" s="31"/>
    </row>
    <row r="179" spans="1:4" s="28" customFormat="1" ht="12.5" x14ac:dyDescent="0.25">
      <c r="A179" s="7"/>
      <c r="B179" s="29"/>
      <c r="C179" s="31"/>
      <c r="D179" s="31"/>
    </row>
    <row r="180" spans="1:4" s="28" customFormat="1" ht="12.5" x14ac:dyDescent="0.25">
      <c r="A180" s="7"/>
      <c r="B180" s="29"/>
      <c r="C180" s="31"/>
      <c r="D180" s="31"/>
    </row>
    <row r="181" spans="1:4" s="28" customFormat="1" ht="12.5" x14ac:dyDescent="0.25">
      <c r="A181" s="7"/>
      <c r="B181" s="29"/>
      <c r="C181" s="31"/>
      <c r="D181" s="31"/>
    </row>
    <row r="182" spans="1:4" s="28" customFormat="1" ht="12.5" x14ac:dyDescent="0.25">
      <c r="A182" s="7"/>
      <c r="B182" s="29"/>
      <c r="C182" s="31"/>
      <c r="D182" s="31"/>
    </row>
    <row r="183" spans="1:4" s="28" customFormat="1" ht="12.5" x14ac:dyDescent="0.25">
      <c r="A183" s="7"/>
      <c r="B183" s="29"/>
      <c r="C183" s="31"/>
      <c r="D183" s="31"/>
    </row>
    <row r="184" spans="1:4" s="28" customFormat="1" ht="12.5" x14ac:dyDescent="0.25">
      <c r="A184" s="7"/>
      <c r="B184" s="29"/>
      <c r="C184" s="31"/>
      <c r="D184" s="31"/>
    </row>
    <row r="185" spans="1:4" s="28" customFormat="1" ht="12.5" x14ac:dyDescent="0.25">
      <c r="A185" s="7"/>
      <c r="B185" s="29"/>
      <c r="C185" s="31"/>
      <c r="D185" s="31"/>
    </row>
    <row r="186" spans="1:4" s="28" customFormat="1" ht="12.5" x14ac:dyDescent="0.25">
      <c r="A186" s="7"/>
      <c r="B186" s="29"/>
      <c r="C186" s="31"/>
      <c r="D186" s="31"/>
    </row>
    <row r="187" spans="1:4" s="28" customFormat="1" ht="12.5" x14ac:dyDescent="0.25">
      <c r="A187" s="7"/>
      <c r="B187" s="29"/>
      <c r="C187" s="31"/>
      <c r="D187" s="31"/>
    </row>
    <row r="188" spans="1:4" s="28" customFormat="1" ht="12.5" x14ac:dyDescent="0.25">
      <c r="A188" s="7"/>
      <c r="B188" s="29"/>
      <c r="C188" s="31"/>
      <c r="D188" s="31"/>
    </row>
    <row r="189" spans="1:4" s="28" customFormat="1" ht="12.5" x14ac:dyDescent="0.25">
      <c r="A189" s="7"/>
      <c r="B189" s="29"/>
      <c r="C189" s="31"/>
      <c r="D189" s="31"/>
    </row>
    <row r="190" spans="1:4" s="28" customFormat="1" ht="12.5" x14ac:dyDescent="0.25">
      <c r="A190" s="7"/>
      <c r="B190" s="29"/>
      <c r="C190" s="31"/>
      <c r="D190" s="31"/>
    </row>
    <row r="191" spans="1:4" s="28" customFormat="1" ht="12.5" x14ac:dyDescent="0.25">
      <c r="A191" s="7"/>
      <c r="B191" s="29"/>
      <c r="C191" s="31"/>
      <c r="D191" s="31"/>
    </row>
    <row r="192" spans="1:4" s="28" customFormat="1" ht="12.5" x14ac:dyDescent="0.25">
      <c r="A192" s="7"/>
      <c r="B192" s="29"/>
      <c r="C192" s="31"/>
      <c r="D192" s="31"/>
    </row>
    <row r="193" spans="1:4" s="28" customFormat="1" ht="12.5" x14ac:dyDescent="0.25">
      <c r="A193" s="7"/>
      <c r="B193" s="29"/>
      <c r="C193" s="31"/>
      <c r="D193" s="31"/>
    </row>
    <row r="194" spans="1:4" s="28" customFormat="1" ht="12.5" x14ac:dyDescent="0.25">
      <c r="A194" s="7"/>
      <c r="B194" s="29"/>
      <c r="C194" s="31"/>
      <c r="D194" s="31"/>
    </row>
    <row r="195" spans="1:4" s="28" customFormat="1" ht="12.5" x14ac:dyDescent="0.25">
      <c r="A195" s="7"/>
      <c r="B195" s="29"/>
      <c r="C195" s="31"/>
      <c r="D195" s="31"/>
    </row>
    <row r="196" spans="1:4" s="28" customFormat="1" ht="12.5" x14ac:dyDescent="0.25">
      <c r="A196" s="7"/>
      <c r="B196" s="29"/>
      <c r="C196" s="31"/>
      <c r="D196" s="31"/>
    </row>
    <row r="197" spans="1:4" s="28" customFormat="1" ht="12.5" x14ac:dyDescent="0.25">
      <c r="A197" s="7"/>
      <c r="B197" s="29"/>
      <c r="C197" s="31"/>
      <c r="D197" s="31"/>
    </row>
    <row r="198" spans="1:4" s="28" customFormat="1" ht="12.5" x14ac:dyDescent="0.25">
      <c r="A198" s="7"/>
      <c r="B198" s="29"/>
      <c r="C198" s="31"/>
      <c r="D198" s="31"/>
    </row>
    <row r="199" spans="1:4" s="28" customFormat="1" ht="12.5" x14ac:dyDescent="0.25">
      <c r="A199" s="7"/>
      <c r="B199" s="29"/>
      <c r="C199" s="31"/>
      <c r="D199" s="31"/>
    </row>
    <row r="200" spans="1:4" s="28" customFormat="1" ht="12.5" x14ac:dyDescent="0.25">
      <c r="A200" s="7"/>
      <c r="B200" s="29"/>
      <c r="C200" s="31"/>
      <c r="D200" s="31"/>
    </row>
    <row r="201" spans="1:4" s="28" customFormat="1" ht="12.5" x14ac:dyDescent="0.25">
      <c r="A201" s="7"/>
      <c r="B201" s="29"/>
      <c r="C201" s="31"/>
      <c r="D201" s="31"/>
    </row>
    <row r="202" spans="1:4" s="28" customFormat="1" ht="12.5" x14ac:dyDescent="0.25">
      <c r="A202" s="7"/>
      <c r="B202" s="29"/>
      <c r="C202" s="31"/>
      <c r="D202" s="31"/>
    </row>
    <row r="203" spans="1:4" s="28" customFormat="1" ht="12.5" x14ac:dyDescent="0.25">
      <c r="A203" s="7"/>
      <c r="B203" s="29"/>
      <c r="C203" s="31"/>
      <c r="D203" s="31"/>
    </row>
    <row r="204" spans="1:4" s="28" customFormat="1" ht="12.5" x14ac:dyDescent="0.25">
      <c r="A204" s="7"/>
      <c r="B204" s="29"/>
      <c r="C204" s="31"/>
      <c r="D204" s="31"/>
    </row>
    <row r="205" spans="1:4" s="28" customFormat="1" ht="12.5" x14ac:dyDescent="0.25">
      <c r="A205" s="7"/>
      <c r="B205" s="29"/>
      <c r="C205" s="31"/>
      <c r="D205" s="31"/>
    </row>
    <row r="206" spans="1:4" s="28" customFormat="1" ht="12.5" x14ac:dyDescent="0.25">
      <c r="A206" s="7"/>
      <c r="B206" s="29"/>
      <c r="C206" s="31"/>
      <c r="D206" s="31"/>
    </row>
    <row r="207" spans="1:4" s="28" customFormat="1" ht="12.5" x14ac:dyDescent="0.25">
      <c r="A207" s="7"/>
      <c r="B207" s="29"/>
      <c r="C207" s="31"/>
      <c r="D207" s="31"/>
    </row>
    <row r="208" spans="1:4" s="28" customFormat="1" ht="12.5" x14ac:dyDescent="0.25">
      <c r="A208" s="7"/>
      <c r="B208" s="29"/>
      <c r="C208" s="31"/>
      <c r="D208" s="31"/>
    </row>
    <row r="209" spans="1:4" s="28" customFormat="1" ht="12.5" x14ac:dyDescent="0.25">
      <c r="A209" s="7"/>
      <c r="B209" s="29"/>
      <c r="C209" s="31"/>
      <c r="D209" s="31"/>
    </row>
    <row r="210" spans="1:4" s="28" customFormat="1" ht="12.5" x14ac:dyDescent="0.25">
      <c r="A210" s="7"/>
      <c r="B210" s="29"/>
      <c r="C210" s="31"/>
      <c r="D210" s="31"/>
    </row>
    <row r="211" spans="1:4" s="28" customFormat="1" ht="12.5" x14ac:dyDescent="0.25">
      <c r="A211" s="7"/>
      <c r="B211" s="29"/>
      <c r="C211" s="31"/>
      <c r="D211" s="31"/>
    </row>
    <row r="212" spans="1:4" s="28" customFormat="1" ht="12.5" x14ac:dyDescent="0.25">
      <c r="A212" s="7"/>
      <c r="B212" s="29"/>
      <c r="C212" s="31"/>
      <c r="D212" s="31"/>
    </row>
    <row r="213" spans="1:4" s="28" customFormat="1" ht="12.5" x14ac:dyDescent="0.25">
      <c r="A213" s="7"/>
      <c r="B213" s="29"/>
      <c r="C213" s="31"/>
      <c r="D213" s="31"/>
    </row>
    <row r="214" spans="1:4" s="28" customFormat="1" ht="12.5" x14ac:dyDescent="0.25">
      <c r="A214" s="7"/>
      <c r="B214" s="29"/>
      <c r="C214" s="31"/>
      <c r="D214" s="31"/>
    </row>
    <row r="215" spans="1:4" s="28" customFormat="1" ht="12.5" x14ac:dyDescent="0.25">
      <c r="A215" s="7"/>
      <c r="B215" s="29"/>
      <c r="C215" s="31"/>
      <c r="D215" s="31"/>
    </row>
    <row r="216" spans="1:4" s="28" customFormat="1" ht="12.5" x14ac:dyDescent="0.25">
      <c r="A216" s="7"/>
      <c r="B216" s="29"/>
      <c r="C216" s="31"/>
      <c r="D216" s="31"/>
    </row>
    <row r="217" spans="1:4" s="28" customFormat="1" ht="12.5" x14ac:dyDescent="0.25">
      <c r="A217" s="7"/>
      <c r="B217" s="29"/>
      <c r="C217" s="31"/>
      <c r="D217" s="31"/>
    </row>
    <row r="218" spans="1:4" s="28" customFormat="1" ht="12.5" x14ac:dyDescent="0.25">
      <c r="A218" s="7"/>
      <c r="B218" s="29"/>
      <c r="C218" s="31"/>
      <c r="D218" s="31"/>
    </row>
    <row r="219" spans="1:4" s="28" customFormat="1" ht="12.5" x14ac:dyDescent="0.25">
      <c r="A219" s="7"/>
      <c r="B219" s="29"/>
      <c r="C219" s="31"/>
      <c r="D219" s="31"/>
    </row>
    <row r="220" spans="1:4" s="28" customFormat="1" ht="12.5" x14ac:dyDescent="0.25">
      <c r="A220" s="7"/>
      <c r="B220" s="29"/>
      <c r="C220" s="31"/>
      <c r="D220" s="31"/>
    </row>
    <row r="221" spans="1:4" s="28" customFormat="1" ht="12.5" x14ac:dyDescent="0.25">
      <c r="A221" s="7"/>
      <c r="B221" s="29"/>
      <c r="C221" s="31"/>
      <c r="D221" s="31"/>
    </row>
    <row r="222" spans="1:4" s="28" customFormat="1" ht="12.5" x14ac:dyDescent="0.25">
      <c r="A222" s="7"/>
      <c r="B222" s="29"/>
      <c r="C222" s="31"/>
      <c r="D222" s="31"/>
    </row>
    <row r="223" spans="1:4" s="28" customFormat="1" ht="12.5" x14ac:dyDescent="0.25">
      <c r="A223" s="7"/>
      <c r="B223" s="27"/>
      <c r="C223" s="31"/>
      <c r="D223" s="31"/>
    </row>
    <row r="224" spans="1:4" s="28" customFormat="1" ht="12.5" x14ac:dyDescent="0.25">
      <c r="A224" s="7"/>
      <c r="B224" s="29"/>
      <c r="C224" s="31"/>
      <c r="D224" s="31"/>
    </row>
    <row r="225" spans="1:4" s="28" customFormat="1" ht="12.5" x14ac:dyDescent="0.25">
      <c r="A225" s="7"/>
      <c r="B225" s="29"/>
      <c r="C225" s="31"/>
      <c r="D225" s="31"/>
    </row>
    <row r="226" spans="1:4" s="28" customFormat="1" ht="12.5" x14ac:dyDescent="0.25">
      <c r="A226" s="7"/>
      <c r="B226" s="29"/>
      <c r="C226" s="31"/>
      <c r="D226" s="31"/>
    </row>
    <row r="227" spans="1:4" s="28" customFormat="1" ht="12.5" x14ac:dyDescent="0.25">
      <c r="A227" s="7"/>
      <c r="B227" s="29"/>
      <c r="C227" s="31"/>
      <c r="D227" s="31"/>
    </row>
    <row r="228" spans="1:4" s="28" customFormat="1" ht="12.5" x14ac:dyDescent="0.25">
      <c r="A228" s="7"/>
      <c r="B228" s="29"/>
      <c r="C228" s="31"/>
      <c r="D228" s="31"/>
    </row>
    <row r="229" spans="1:4" s="28" customFormat="1" ht="12.5" x14ac:dyDescent="0.25">
      <c r="A229" s="7"/>
      <c r="B229" s="29"/>
      <c r="C229" s="31"/>
      <c r="D229" s="31"/>
    </row>
    <row r="230" spans="1:4" s="28" customFormat="1" ht="12.5" x14ac:dyDescent="0.25">
      <c r="A230" s="7"/>
      <c r="B230" s="29"/>
      <c r="C230" s="31"/>
      <c r="D230" s="31"/>
    </row>
    <row r="231" spans="1:4" s="28" customFormat="1" ht="12.5" x14ac:dyDescent="0.25">
      <c r="A231" s="7"/>
      <c r="B231" s="30"/>
      <c r="C231" s="31"/>
      <c r="D231" s="31"/>
    </row>
    <row r="232" spans="1:4" s="28" customFormat="1" ht="12.5" x14ac:dyDescent="0.25">
      <c r="A232" s="7"/>
      <c r="B232" s="30"/>
      <c r="C232" s="31"/>
      <c r="D232" s="31"/>
    </row>
    <row r="233" spans="1:4" s="28" customFormat="1" ht="12.5" x14ac:dyDescent="0.25">
      <c r="A233" s="7"/>
      <c r="B233" s="30"/>
      <c r="C233" s="31"/>
      <c r="D233" s="31"/>
    </row>
    <row r="234" spans="1:4" s="28" customFormat="1" ht="12.5" x14ac:dyDescent="0.25">
      <c r="A234" s="7"/>
      <c r="B234" s="30"/>
      <c r="C234" s="31"/>
      <c r="D234" s="31"/>
    </row>
    <row r="235" spans="1:4" s="28" customFormat="1" ht="12.5" x14ac:dyDescent="0.25">
      <c r="A235" s="7"/>
      <c r="B235" s="30"/>
      <c r="C235" s="31"/>
      <c r="D235" s="31"/>
    </row>
    <row r="236" spans="1:4" s="28" customFormat="1" ht="12.5" x14ac:dyDescent="0.25">
      <c r="A236" s="7"/>
      <c r="B236" s="30"/>
      <c r="C236" s="31"/>
      <c r="D236" s="31"/>
    </row>
    <row r="237" spans="1:4" s="28" customFormat="1" ht="12.5" x14ac:dyDescent="0.25">
      <c r="A237" s="7"/>
      <c r="B237" s="30"/>
      <c r="C237" s="31"/>
      <c r="D237" s="31"/>
    </row>
    <row r="238" spans="1:4" s="28" customFormat="1" x14ac:dyDescent="0.3">
      <c r="A238" s="5"/>
      <c r="B238" s="12"/>
      <c r="C238" s="31"/>
      <c r="D238" s="31"/>
    </row>
    <row r="239" spans="1:4" s="28" customFormat="1" x14ac:dyDescent="0.3">
      <c r="A239" s="5"/>
      <c r="B239" s="12"/>
      <c r="C239" s="31"/>
      <c r="D239" s="31"/>
    </row>
    <row r="240" spans="1:4" s="28" customFormat="1" x14ac:dyDescent="0.3">
      <c r="A240" s="5"/>
      <c r="B240" s="12"/>
      <c r="C240" s="31"/>
      <c r="D240" s="31"/>
    </row>
    <row r="241" spans="1:4" s="28" customFormat="1" x14ac:dyDescent="0.3">
      <c r="A241" s="5"/>
      <c r="B241" s="12"/>
      <c r="C241" s="31"/>
      <c r="D241" s="31"/>
    </row>
    <row r="242" spans="1:4" s="28" customFormat="1" x14ac:dyDescent="0.3">
      <c r="A242" s="5"/>
      <c r="B242" s="12"/>
      <c r="C242" s="31"/>
      <c r="D242" s="31"/>
    </row>
    <row r="243" spans="1:4" s="28" customFormat="1" x14ac:dyDescent="0.3">
      <c r="A243" s="5"/>
      <c r="B243" s="12"/>
      <c r="C243" s="31"/>
      <c r="D243" s="31"/>
    </row>
    <row r="244" spans="1:4" s="28" customFormat="1" x14ac:dyDescent="0.3">
      <c r="A244" s="5"/>
      <c r="B244" s="12"/>
      <c r="C244" s="31"/>
      <c r="D244" s="31"/>
    </row>
    <row r="245" spans="1:4" s="28" customFormat="1" x14ac:dyDescent="0.3">
      <c r="A245" s="5"/>
      <c r="B245" s="12"/>
      <c r="C245" s="31"/>
      <c r="D245" s="31"/>
    </row>
    <row r="246" spans="1:4" s="28" customFormat="1" x14ac:dyDescent="0.3">
      <c r="A246" s="5"/>
      <c r="B246" s="12"/>
      <c r="C246" s="31"/>
      <c r="D246" s="31"/>
    </row>
    <row r="247" spans="1:4" s="28" customFormat="1" x14ac:dyDescent="0.3">
      <c r="A247" s="5"/>
      <c r="B247" s="12"/>
      <c r="C247" s="31"/>
      <c r="D247" s="31"/>
    </row>
    <row r="248" spans="1:4" s="28" customFormat="1" x14ac:dyDescent="0.3">
      <c r="A248" s="5"/>
      <c r="B248" s="12"/>
      <c r="C248" s="31"/>
      <c r="D248" s="31"/>
    </row>
    <row r="249" spans="1:4" s="28" customFormat="1" x14ac:dyDescent="0.3">
      <c r="A249" s="5"/>
      <c r="B249" s="12"/>
      <c r="C249" s="31"/>
      <c r="D249" s="31"/>
    </row>
    <row r="250" spans="1:4" s="28" customFormat="1" x14ac:dyDescent="0.3">
      <c r="A250" s="5"/>
      <c r="B250" s="12"/>
      <c r="C250" s="31"/>
      <c r="D250" s="31"/>
    </row>
    <row r="251" spans="1:4" s="28" customFormat="1" x14ac:dyDescent="0.3">
      <c r="A251" s="5"/>
      <c r="B251" s="12"/>
      <c r="C251" s="31"/>
      <c r="D251" s="31"/>
    </row>
    <row r="252" spans="1:4" s="28" customFormat="1" x14ac:dyDescent="0.3">
      <c r="A252" s="5"/>
      <c r="B252" s="12"/>
      <c r="C252" s="31"/>
      <c r="D252" s="31"/>
    </row>
    <row r="253" spans="1:4" s="28" customFormat="1" x14ac:dyDescent="0.3">
      <c r="A253" s="5"/>
      <c r="B253" s="12"/>
      <c r="C253" s="31"/>
      <c r="D253" s="31"/>
    </row>
    <row r="254" spans="1:4" s="28" customFormat="1" x14ac:dyDescent="0.3">
      <c r="A254" s="5"/>
      <c r="B254" s="12"/>
      <c r="C254" s="31"/>
      <c r="D254" s="31"/>
    </row>
    <row r="255" spans="1:4" s="28" customFormat="1" x14ac:dyDescent="0.3">
      <c r="A255" s="5"/>
      <c r="B255" s="12"/>
      <c r="C255" s="31"/>
      <c r="D255" s="31"/>
    </row>
    <row r="256" spans="1:4" s="28" customFormat="1" x14ac:dyDescent="0.3">
      <c r="A256" s="5"/>
      <c r="B256" s="12"/>
      <c r="C256" s="31"/>
      <c r="D256" s="31"/>
    </row>
    <row r="257" spans="1:4" s="28" customFormat="1" x14ac:dyDescent="0.3">
      <c r="A257" s="5"/>
      <c r="B257" s="12"/>
      <c r="C257" s="31"/>
      <c r="D257" s="31"/>
    </row>
    <row r="258" spans="1:4" s="28" customFormat="1" x14ac:dyDescent="0.3">
      <c r="A258" s="5"/>
      <c r="B258" s="12"/>
      <c r="C258" s="31"/>
      <c r="D258" s="31"/>
    </row>
    <row r="259" spans="1:4" s="28" customFormat="1" x14ac:dyDescent="0.3">
      <c r="A259" s="5"/>
      <c r="B259" s="12"/>
      <c r="C259" s="31"/>
      <c r="D259" s="31"/>
    </row>
    <row r="260" spans="1:4" s="28" customFormat="1" x14ac:dyDescent="0.3">
      <c r="A260" s="5"/>
      <c r="B260" s="12"/>
      <c r="C260" s="31"/>
      <c r="D260" s="31"/>
    </row>
    <row r="261" spans="1:4" s="28" customFormat="1" x14ac:dyDescent="0.3">
      <c r="A261" s="5"/>
      <c r="B261" s="12"/>
      <c r="C261" s="31"/>
      <c r="D261" s="31"/>
    </row>
    <row r="262" spans="1:4" s="28" customFormat="1" x14ac:dyDescent="0.3">
      <c r="A262" s="5"/>
      <c r="B262" s="12"/>
      <c r="C262" s="31"/>
      <c r="D262" s="31"/>
    </row>
    <row r="263" spans="1:4" s="28" customFormat="1" x14ac:dyDescent="0.3">
      <c r="A263" s="5"/>
      <c r="B263" s="12"/>
      <c r="C263" s="31"/>
      <c r="D263" s="31"/>
    </row>
    <row r="264" spans="1:4" s="28" customFormat="1" x14ac:dyDescent="0.3">
      <c r="A264" s="5"/>
      <c r="B264" s="12"/>
      <c r="C264" s="31"/>
      <c r="D264" s="31"/>
    </row>
    <row r="265" spans="1:4" s="28" customFormat="1" x14ac:dyDescent="0.3">
      <c r="A265" s="5"/>
      <c r="B265" s="12"/>
      <c r="C265" s="31"/>
      <c r="D265" s="31"/>
    </row>
  </sheetData>
  <mergeCells count="3">
    <mergeCell ref="A1:A2"/>
    <mergeCell ref="B1:B2"/>
    <mergeCell ref="C1:D1"/>
  </mergeCells>
  <conditionalFormatting sqref="G1:G1048576">
    <cfRule type="duplicateValues" dxfId="4" priority="1"/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"/>
  <sheetViews>
    <sheetView workbookViewId="0">
      <selection activeCell="A2" sqref="A2:XFD73"/>
    </sheetView>
  </sheetViews>
  <sheetFormatPr defaultColWidth="8.81640625" defaultRowHeight="12.5" x14ac:dyDescent="0.25"/>
  <cols>
    <col min="1" max="4" width="8.81640625" style="140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Q5"/>
  <sheetViews>
    <sheetView zoomScale="90" zoomScaleNormal="90" zoomScalePageLayoutView="67" workbookViewId="0">
      <selection activeCell="D17" sqref="D17"/>
    </sheetView>
  </sheetViews>
  <sheetFormatPr defaultRowHeight="12.5" x14ac:dyDescent="0.25"/>
  <cols>
    <col min="17" max="17" width="23.90625" customWidth="1"/>
  </cols>
  <sheetData>
    <row r="1" spans="1:69" s="44" customFormat="1" ht="13" x14ac:dyDescent="0.25">
      <c r="A1" s="208" t="s">
        <v>4</v>
      </c>
      <c r="B1" s="210" t="s">
        <v>93</v>
      </c>
      <c r="C1" s="212" t="s">
        <v>99</v>
      </c>
      <c r="D1" s="208" t="s">
        <v>19</v>
      </c>
      <c r="E1" s="208" t="s">
        <v>61</v>
      </c>
      <c r="F1" s="208" t="s">
        <v>0</v>
      </c>
      <c r="G1" s="218" t="s">
        <v>43</v>
      </c>
      <c r="H1" s="218" t="s">
        <v>59</v>
      </c>
      <c r="I1" s="176"/>
      <c r="J1" s="10" t="s">
        <v>13</v>
      </c>
      <c r="K1" s="10"/>
      <c r="L1" s="10"/>
      <c r="M1" s="17"/>
      <c r="N1" s="17"/>
      <c r="O1" s="10" t="s">
        <v>18</v>
      </c>
      <c r="P1" s="15"/>
      <c r="Q1" s="15"/>
      <c r="R1" s="15"/>
      <c r="S1" s="16"/>
      <c r="T1" s="10"/>
      <c r="U1" s="97" t="s">
        <v>11</v>
      </c>
      <c r="V1" s="97"/>
      <c r="W1" s="98"/>
      <c r="X1" s="98"/>
      <c r="Y1" s="216" t="s">
        <v>133</v>
      </c>
      <c r="Z1" s="17" t="s">
        <v>12</v>
      </c>
      <c r="AA1" s="17"/>
      <c r="AB1" s="15"/>
      <c r="AC1" s="16"/>
      <c r="AD1" s="2"/>
      <c r="AE1" s="4" t="s">
        <v>51</v>
      </c>
      <c r="AF1" s="4"/>
      <c r="AG1" s="4"/>
      <c r="AH1" s="4"/>
      <c r="AI1" s="4"/>
      <c r="AJ1" s="4"/>
      <c r="AK1" s="97" t="s">
        <v>11</v>
      </c>
      <c r="AL1" s="97"/>
      <c r="AM1" s="98"/>
      <c r="AN1" s="98"/>
      <c r="AO1" s="216" t="s">
        <v>133</v>
      </c>
      <c r="AP1" s="18" t="s">
        <v>12</v>
      </c>
      <c r="AQ1" s="19"/>
      <c r="AR1" s="18"/>
      <c r="AS1" s="16"/>
      <c r="AT1" s="2"/>
      <c r="AU1" s="4" t="s">
        <v>50</v>
      </c>
      <c r="AV1" s="4"/>
      <c r="AW1" s="4"/>
      <c r="AX1" s="4"/>
      <c r="AY1" s="4"/>
      <c r="BC1" s="42"/>
      <c r="BD1" s="42"/>
      <c r="BE1" s="42"/>
      <c r="BF1" s="42"/>
      <c r="BG1" s="42"/>
      <c r="BH1" s="42" t="s">
        <v>51</v>
      </c>
      <c r="BI1" s="42"/>
      <c r="BJ1" s="42"/>
      <c r="BK1" s="42"/>
      <c r="BL1" s="42"/>
      <c r="BM1" s="42" t="s">
        <v>50</v>
      </c>
      <c r="BN1" s="42"/>
      <c r="BO1" s="42"/>
      <c r="BP1" s="42"/>
      <c r="BQ1" s="42"/>
    </row>
    <row r="2" spans="1:69" s="51" customFormat="1" ht="13" x14ac:dyDescent="0.25">
      <c r="A2" s="209"/>
      <c r="B2" s="211"/>
      <c r="C2" s="213"/>
      <c r="D2" s="209"/>
      <c r="E2" s="209"/>
      <c r="F2" s="209"/>
      <c r="G2" s="219"/>
      <c r="H2" s="220"/>
      <c r="I2" s="177"/>
      <c r="J2" s="178" t="s">
        <v>15</v>
      </c>
      <c r="K2" s="174" t="s">
        <v>9</v>
      </c>
      <c r="L2" s="174" t="s">
        <v>14</v>
      </c>
      <c r="M2" s="56" t="s">
        <v>42</v>
      </c>
      <c r="N2" s="56" t="s">
        <v>1</v>
      </c>
      <c r="O2" s="174" t="s">
        <v>15</v>
      </c>
      <c r="P2" s="174"/>
      <c r="Q2" s="174" t="s">
        <v>9</v>
      </c>
      <c r="R2" s="174"/>
      <c r="S2" s="174" t="s">
        <v>10</v>
      </c>
      <c r="T2" s="174"/>
      <c r="U2" s="99" t="s">
        <v>2</v>
      </c>
      <c r="V2" s="99" t="s">
        <v>16</v>
      </c>
      <c r="W2" s="99" t="s">
        <v>9</v>
      </c>
      <c r="X2" s="100" t="s">
        <v>10</v>
      </c>
      <c r="Y2" s="217"/>
      <c r="Z2" s="20" t="s">
        <v>2</v>
      </c>
      <c r="AA2" s="174" t="s">
        <v>16</v>
      </c>
      <c r="AB2" s="174" t="s">
        <v>9</v>
      </c>
      <c r="AC2" s="56" t="s">
        <v>10</v>
      </c>
      <c r="AD2" s="14" t="s">
        <v>116</v>
      </c>
      <c r="AE2" s="41" t="s">
        <v>161</v>
      </c>
      <c r="AF2" s="41" t="s">
        <v>23</v>
      </c>
      <c r="AG2" s="41" t="s">
        <v>41</v>
      </c>
      <c r="AH2" s="41" t="s">
        <v>25</v>
      </c>
      <c r="AI2" s="175" t="s">
        <v>22</v>
      </c>
      <c r="AJ2" s="41"/>
      <c r="AK2" s="99" t="s">
        <v>2</v>
      </c>
      <c r="AL2" s="99" t="s">
        <v>16</v>
      </c>
      <c r="AM2" s="99" t="s">
        <v>9</v>
      </c>
      <c r="AN2" s="100" t="s">
        <v>10</v>
      </c>
      <c r="AO2" s="217"/>
      <c r="AP2" s="20" t="s">
        <v>2</v>
      </c>
      <c r="AQ2" s="174" t="s">
        <v>16</v>
      </c>
      <c r="AR2" s="174" t="s">
        <v>9</v>
      </c>
      <c r="AS2" s="174" t="s">
        <v>10</v>
      </c>
      <c r="AT2" s="14" t="s">
        <v>116</v>
      </c>
      <c r="AU2" s="41" t="s">
        <v>161</v>
      </c>
      <c r="AV2" s="41" t="s">
        <v>23</v>
      </c>
      <c r="AW2" s="41" t="s">
        <v>41</v>
      </c>
      <c r="AX2" s="41" t="s">
        <v>25</v>
      </c>
      <c r="AY2" s="175" t="s">
        <v>22</v>
      </c>
      <c r="BB2" s="44"/>
      <c r="BC2" s="42" t="s">
        <v>51</v>
      </c>
      <c r="BD2" s="42" t="s">
        <v>50</v>
      </c>
      <c r="BE2" s="42"/>
      <c r="BF2" s="42"/>
      <c r="BG2" s="42"/>
      <c r="BH2" s="42" t="s">
        <v>27</v>
      </c>
      <c r="BI2" s="42" t="s">
        <v>26</v>
      </c>
      <c r="BJ2" s="42" t="s">
        <v>28</v>
      </c>
      <c r="BK2" s="42" t="s">
        <v>89</v>
      </c>
      <c r="BL2" s="42" t="s">
        <v>29</v>
      </c>
      <c r="BM2" s="42" t="s">
        <v>27</v>
      </c>
      <c r="BN2" s="42" t="s">
        <v>26</v>
      </c>
      <c r="BO2" s="42" t="s">
        <v>28</v>
      </c>
      <c r="BP2" s="42" t="s">
        <v>89</v>
      </c>
      <c r="BQ2" s="42" t="s">
        <v>29</v>
      </c>
    </row>
    <row r="3" spans="1:69" s="2" customFormat="1" ht="13" x14ac:dyDescent="0.25">
      <c r="A3" s="198" t="s">
        <v>58</v>
      </c>
      <c r="B3" s="199" t="s">
        <v>35</v>
      </c>
      <c r="C3" s="144" t="s">
        <v>349</v>
      </c>
      <c r="D3" s="138" t="s">
        <v>107</v>
      </c>
      <c r="E3" s="138" t="s">
        <v>3</v>
      </c>
      <c r="F3" s="165" t="s">
        <v>368</v>
      </c>
      <c r="G3" s="179" t="s">
        <v>369</v>
      </c>
      <c r="H3" s="128"/>
      <c r="I3" s="128"/>
      <c r="J3" s="58">
        <v>0</v>
      </c>
      <c r="K3" s="58">
        <v>15</v>
      </c>
      <c r="L3" s="58">
        <v>45</v>
      </c>
      <c r="M3" s="58">
        <v>0</v>
      </c>
      <c r="N3" s="126">
        <f t="shared" ref="N3:N5" si="0">SUM(J3:L3)</f>
        <v>60</v>
      </c>
      <c r="O3" s="126">
        <f t="shared" ref="O3:O4" si="1">J3/15</f>
        <v>0</v>
      </c>
      <c r="P3" s="126">
        <f t="shared" ref="P3:Q4" si="2">J3/15</f>
        <v>0</v>
      </c>
      <c r="Q3" s="126">
        <f t="shared" si="2"/>
        <v>1</v>
      </c>
      <c r="R3" s="126">
        <f t="shared" ref="R3:S4" si="3">K3/15</f>
        <v>1</v>
      </c>
      <c r="S3" s="126">
        <f t="shared" si="3"/>
        <v>3</v>
      </c>
      <c r="T3" s="126">
        <f t="shared" ref="T3:T4" si="4">L3/15</f>
        <v>3</v>
      </c>
      <c r="U3" s="94">
        <f t="shared" ref="U3:U4" si="5">IF(J3&lt;&gt;0,IF(I3="Y",IF(Y3&lt;&gt;0,1,0),0),0)</f>
        <v>0</v>
      </c>
      <c r="V3" s="94">
        <f t="shared" ref="V3:V4" si="6">IF(J3&lt;&gt;0,ROUNDUP(AD3/2,0),0)</f>
        <v>0</v>
      </c>
      <c r="W3" s="94">
        <v>2</v>
      </c>
      <c r="X3" s="94">
        <v>2</v>
      </c>
      <c r="Y3" s="95">
        <f t="shared" ref="Y3:Y5" si="7">AI3</f>
        <v>40</v>
      </c>
      <c r="Z3" s="126">
        <f t="shared" ref="Z3:Z5" si="8">U3*J3</f>
        <v>0</v>
      </c>
      <c r="AA3" s="126">
        <f t="shared" ref="AA3:AC5" si="9">V3*J3</f>
        <v>0</v>
      </c>
      <c r="AB3" s="126">
        <f t="shared" si="9"/>
        <v>30</v>
      </c>
      <c r="AC3" s="126">
        <f t="shared" si="9"/>
        <v>90</v>
      </c>
      <c r="AD3" s="126">
        <v>2</v>
      </c>
      <c r="AE3" s="126">
        <v>40</v>
      </c>
      <c r="AF3" s="126">
        <v>0</v>
      </c>
      <c r="AG3" s="126"/>
      <c r="AH3" s="126"/>
      <c r="AI3" s="126">
        <f t="shared" ref="AI3:AI4" si="10">SUM(AE3:AH3)</f>
        <v>40</v>
      </c>
      <c r="AJ3" s="126"/>
      <c r="AK3" s="94">
        <f t="shared" ref="AK3:AK5" si="11">IF(J3&lt;&gt;0,IF(I3="Y",IF(AO3&lt;&gt;0,1,0),0),0)</f>
        <v>0</v>
      </c>
      <c r="AL3" s="94">
        <f t="shared" ref="AL3:AL5" si="12">IF(J3&lt;&gt;0,ROUNDUP(AT3/2,0),0)</f>
        <v>0</v>
      </c>
      <c r="AM3" s="94">
        <v>0</v>
      </c>
      <c r="AN3" s="94">
        <v>0</v>
      </c>
      <c r="AO3" s="95">
        <v>0</v>
      </c>
      <c r="AP3" s="126">
        <f t="shared" ref="AP3:AP5" si="13">AK3*AVERAGE(O3:P3)*15</f>
        <v>0</v>
      </c>
      <c r="AQ3" s="126">
        <f t="shared" ref="AQ3:AQ5" si="14">AL3*AVERAGE(O3:P3)*15</f>
        <v>0</v>
      </c>
      <c r="AR3" s="126">
        <f t="shared" ref="AR3:AR5" si="15">AM3*AVERAGE(Q3:R3)*15</f>
        <v>0</v>
      </c>
      <c r="AS3" s="126">
        <f t="shared" ref="AS3:AS5" si="16">AN3*AVERAGE(S3:T3)*15</f>
        <v>0</v>
      </c>
      <c r="AT3" s="126">
        <v>0</v>
      </c>
      <c r="AU3" s="126">
        <v>0</v>
      </c>
      <c r="AV3" s="126">
        <v>0</v>
      </c>
      <c r="AW3" s="126"/>
      <c r="AX3" s="126"/>
      <c r="AY3" s="126">
        <f t="shared" ref="AY3:AY5" si="17">SUM($AU3:$AX3)</f>
        <v>0</v>
      </c>
      <c r="AZ3" s="127"/>
      <c r="BA3" s="127"/>
      <c r="BC3" s="27">
        <f t="shared" ref="BC3:BC4" si="18">SUM(Z3:AC3)</f>
        <v>120</v>
      </c>
      <c r="BD3" s="27">
        <f t="shared" ref="BD3:BD5" si="19">SUM(AP3:AS3)</f>
        <v>0</v>
      </c>
      <c r="BE3" s="27"/>
      <c r="BF3" s="27" t="e">
        <f>IF(#REF!="S1",IF(Y3=0,0,IF(ISNUMBER(SEARCH("Changed",H3)),2,1)),IF(AO3=0,0,IF(ISNUMBER(SEARCH("Changed",H3)),2,1)))</f>
        <v>#REF!</v>
      </c>
      <c r="BG3" s="27"/>
      <c r="BH3" s="27">
        <f t="shared" ref="BH3:BH5" si="20">Z3+AA3</f>
        <v>0</v>
      </c>
      <c r="BI3" s="27">
        <f t="shared" ref="BI3:BJ5" si="21">AB3</f>
        <v>30</v>
      </c>
      <c r="BJ3" s="27">
        <f t="shared" si="21"/>
        <v>90</v>
      </c>
      <c r="BK3" s="27"/>
      <c r="BL3" s="27"/>
      <c r="BM3" s="27">
        <f t="shared" ref="BM3:BM5" si="22">AP3+AQ3</f>
        <v>0</v>
      </c>
      <c r="BN3" s="27">
        <f t="shared" ref="BN3:BO5" si="23">AR3</f>
        <v>0</v>
      </c>
      <c r="BO3" s="27">
        <f t="shared" si="23"/>
        <v>0</v>
      </c>
      <c r="BP3" s="27"/>
      <c r="BQ3" s="27"/>
    </row>
    <row r="4" spans="1:69" s="2" customFormat="1" ht="13" x14ac:dyDescent="0.25">
      <c r="A4" s="198" t="s">
        <v>370</v>
      </c>
      <c r="B4" s="199" t="s">
        <v>33</v>
      </c>
      <c r="C4" s="144" t="s">
        <v>370</v>
      </c>
      <c r="D4" s="138" t="s">
        <v>107</v>
      </c>
      <c r="E4" s="138" t="s">
        <v>3</v>
      </c>
      <c r="F4" s="165" t="s">
        <v>368</v>
      </c>
      <c r="G4" s="179" t="s">
        <v>369</v>
      </c>
      <c r="H4" s="128"/>
      <c r="I4" s="128"/>
      <c r="J4" s="58">
        <v>0</v>
      </c>
      <c r="K4" s="58">
        <v>15</v>
      </c>
      <c r="L4" s="58">
        <v>45</v>
      </c>
      <c r="M4" s="58">
        <v>0</v>
      </c>
      <c r="N4" s="126">
        <f t="shared" si="0"/>
        <v>60</v>
      </c>
      <c r="O4" s="126">
        <f t="shared" si="1"/>
        <v>0</v>
      </c>
      <c r="P4" s="126">
        <f t="shared" si="2"/>
        <v>0</v>
      </c>
      <c r="Q4" s="126">
        <f t="shared" si="2"/>
        <v>1</v>
      </c>
      <c r="R4" s="126">
        <f t="shared" si="3"/>
        <v>1</v>
      </c>
      <c r="S4" s="126">
        <f t="shared" si="3"/>
        <v>3</v>
      </c>
      <c r="T4" s="126">
        <f t="shared" si="4"/>
        <v>3</v>
      </c>
      <c r="U4" s="94">
        <f t="shared" si="5"/>
        <v>0</v>
      </c>
      <c r="V4" s="94">
        <f t="shared" si="6"/>
        <v>0</v>
      </c>
      <c r="W4" s="94">
        <v>3</v>
      </c>
      <c r="X4" s="94">
        <v>3</v>
      </c>
      <c r="Y4" s="95">
        <f t="shared" si="7"/>
        <v>60</v>
      </c>
      <c r="Z4" s="126">
        <f t="shared" si="8"/>
        <v>0</v>
      </c>
      <c r="AA4" s="126">
        <f t="shared" si="9"/>
        <v>0</v>
      </c>
      <c r="AB4" s="126">
        <f t="shared" si="9"/>
        <v>45</v>
      </c>
      <c r="AC4" s="126">
        <f t="shared" si="9"/>
        <v>135</v>
      </c>
      <c r="AD4" s="126">
        <v>3</v>
      </c>
      <c r="AE4" s="126">
        <v>60</v>
      </c>
      <c r="AF4" s="126">
        <v>0</v>
      </c>
      <c r="AG4" s="126"/>
      <c r="AH4" s="126"/>
      <c r="AI4" s="126">
        <f t="shared" si="10"/>
        <v>60</v>
      </c>
      <c r="AJ4" s="126"/>
      <c r="AK4" s="94">
        <f t="shared" si="11"/>
        <v>0</v>
      </c>
      <c r="AL4" s="94">
        <f t="shared" si="12"/>
        <v>0</v>
      </c>
      <c r="AM4" s="94">
        <v>0</v>
      </c>
      <c r="AN4" s="94">
        <v>0</v>
      </c>
      <c r="AO4" s="95">
        <v>0</v>
      </c>
      <c r="AP4" s="126">
        <f t="shared" si="13"/>
        <v>0</v>
      </c>
      <c r="AQ4" s="126">
        <f t="shared" si="14"/>
        <v>0</v>
      </c>
      <c r="AR4" s="126">
        <f t="shared" si="15"/>
        <v>0</v>
      </c>
      <c r="AS4" s="126">
        <f t="shared" si="16"/>
        <v>0</v>
      </c>
      <c r="AT4" s="126">
        <v>0</v>
      </c>
      <c r="AU4" s="126">
        <v>0</v>
      </c>
      <c r="AV4" s="126">
        <v>0</v>
      </c>
      <c r="AW4" s="126"/>
      <c r="AX4" s="126"/>
      <c r="AY4" s="126">
        <f t="shared" si="17"/>
        <v>0</v>
      </c>
      <c r="AZ4" s="127"/>
      <c r="BA4" s="127"/>
      <c r="BC4" s="27">
        <f t="shared" si="18"/>
        <v>180</v>
      </c>
      <c r="BD4" s="27">
        <f t="shared" si="19"/>
        <v>0</v>
      </c>
      <c r="BE4" s="27"/>
      <c r="BF4" s="27" t="e">
        <f>IF(#REF!="S1",IF(Y4=0,0,IF(ISNUMBER(SEARCH("Changed",H4)),2,1)),IF(AO4=0,0,IF(ISNUMBER(SEARCH("Changed",H4)),2,1)))</f>
        <v>#REF!</v>
      </c>
      <c r="BG4" s="27"/>
      <c r="BH4" s="27">
        <f t="shared" si="20"/>
        <v>0</v>
      </c>
      <c r="BI4" s="27">
        <f t="shared" si="21"/>
        <v>45</v>
      </c>
      <c r="BJ4" s="27">
        <f t="shared" si="21"/>
        <v>135</v>
      </c>
      <c r="BK4" s="27"/>
      <c r="BL4" s="27"/>
      <c r="BM4" s="27">
        <f t="shared" si="22"/>
        <v>0</v>
      </c>
      <c r="BN4" s="27">
        <f t="shared" si="23"/>
        <v>0</v>
      </c>
      <c r="BO4" s="27">
        <f t="shared" si="23"/>
        <v>0</v>
      </c>
      <c r="BP4" s="27"/>
      <c r="BQ4" s="27"/>
    </row>
    <row r="5" spans="1:69" s="2" customFormat="1" ht="13" x14ac:dyDescent="0.25">
      <c r="A5" s="198" t="s">
        <v>370</v>
      </c>
      <c r="B5" s="199" t="s">
        <v>33</v>
      </c>
      <c r="C5" s="144" t="s">
        <v>370</v>
      </c>
      <c r="D5" s="138" t="s">
        <v>107</v>
      </c>
      <c r="E5" s="138" t="s">
        <v>3</v>
      </c>
      <c r="F5" s="165" t="s">
        <v>367</v>
      </c>
      <c r="G5" s="179" t="s">
        <v>371</v>
      </c>
      <c r="H5" s="128"/>
      <c r="I5" s="128"/>
      <c r="J5" s="58">
        <v>0</v>
      </c>
      <c r="K5" s="58">
        <v>30</v>
      </c>
      <c r="L5" s="58">
        <v>30</v>
      </c>
      <c r="M5" s="58">
        <v>0</v>
      </c>
      <c r="N5" s="126">
        <f t="shared" si="0"/>
        <v>60</v>
      </c>
      <c r="O5" s="126">
        <v>0</v>
      </c>
      <c r="P5" s="126">
        <v>0</v>
      </c>
      <c r="Q5" s="126">
        <v>2</v>
      </c>
      <c r="R5" s="126">
        <v>2</v>
      </c>
      <c r="S5" s="126">
        <v>2</v>
      </c>
      <c r="T5" s="126">
        <v>2</v>
      </c>
      <c r="U5" s="94">
        <v>0</v>
      </c>
      <c r="V5" s="94">
        <v>0</v>
      </c>
      <c r="W5" s="94">
        <v>2</v>
      </c>
      <c r="X5" s="94">
        <v>2</v>
      </c>
      <c r="Y5" s="95">
        <f t="shared" si="7"/>
        <v>60</v>
      </c>
      <c r="Z5" s="126">
        <f t="shared" si="8"/>
        <v>0</v>
      </c>
      <c r="AA5" s="126">
        <f t="shared" si="9"/>
        <v>0</v>
      </c>
      <c r="AB5" s="126">
        <f t="shared" si="9"/>
        <v>60</v>
      </c>
      <c r="AC5" s="126">
        <f t="shared" si="9"/>
        <v>60</v>
      </c>
      <c r="AD5" s="126">
        <v>3</v>
      </c>
      <c r="AE5" s="126">
        <v>60</v>
      </c>
      <c r="AF5" s="126">
        <v>0</v>
      </c>
      <c r="AG5" s="126"/>
      <c r="AH5" s="126"/>
      <c r="AI5" s="126">
        <v>60</v>
      </c>
      <c r="AJ5" s="126"/>
      <c r="AK5" s="94">
        <f t="shared" si="11"/>
        <v>0</v>
      </c>
      <c r="AL5" s="94">
        <f t="shared" si="12"/>
        <v>0</v>
      </c>
      <c r="AM5" s="94">
        <v>0</v>
      </c>
      <c r="AN5" s="94">
        <v>0</v>
      </c>
      <c r="AO5" s="95">
        <v>0</v>
      </c>
      <c r="AP5" s="126">
        <f t="shared" si="13"/>
        <v>0</v>
      </c>
      <c r="AQ5" s="126">
        <f t="shared" si="14"/>
        <v>0</v>
      </c>
      <c r="AR5" s="126">
        <f t="shared" si="15"/>
        <v>0</v>
      </c>
      <c r="AS5" s="126">
        <f t="shared" si="16"/>
        <v>0</v>
      </c>
      <c r="AT5" s="126">
        <v>0</v>
      </c>
      <c r="AU5" s="126">
        <v>0</v>
      </c>
      <c r="AV5" s="126">
        <v>0</v>
      </c>
      <c r="AW5" s="126"/>
      <c r="AX5" s="126"/>
      <c r="AY5" s="126">
        <f t="shared" si="17"/>
        <v>0</v>
      </c>
      <c r="AZ5" s="127"/>
      <c r="BA5" s="127"/>
      <c r="BC5" s="27">
        <f t="shared" ref="BC5" si="24">SUM(Z5:AC5)</f>
        <v>120</v>
      </c>
      <c r="BD5" s="27">
        <f t="shared" si="19"/>
        <v>0</v>
      </c>
      <c r="BE5" s="27"/>
      <c r="BF5" s="27" t="e">
        <f>IF(#REF!="S1",IF(Y5=0,0,IF(ISNUMBER(SEARCH("Changed",H5)),2,1)),IF(AO5=0,0,IF(ISNUMBER(SEARCH("Changed",H5)),2,1)))</f>
        <v>#REF!</v>
      </c>
      <c r="BG5" s="27"/>
      <c r="BH5" s="27">
        <f t="shared" si="20"/>
        <v>0</v>
      </c>
      <c r="BI5" s="27">
        <f t="shared" si="21"/>
        <v>60</v>
      </c>
      <c r="BJ5" s="27">
        <f t="shared" si="21"/>
        <v>60</v>
      </c>
      <c r="BK5" s="27"/>
      <c r="BL5" s="27"/>
      <c r="BM5" s="27">
        <f t="shared" si="22"/>
        <v>0</v>
      </c>
      <c r="BN5" s="27">
        <f t="shared" si="23"/>
        <v>0</v>
      </c>
      <c r="BO5" s="27">
        <f t="shared" si="23"/>
        <v>0</v>
      </c>
      <c r="BP5" s="27"/>
      <c r="BQ5" s="27"/>
    </row>
  </sheetData>
  <mergeCells count="10">
    <mergeCell ref="G1:G2"/>
    <mergeCell ref="H1:H2"/>
    <mergeCell ref="Y1:Y2"/>
    <mergeCell ref="AO1:AO2"/>
    <mergeCell ref="A1:A2"/>
    <mergeCell ref="B1:B2"/>
    <mergeCell ref="C1:C2"/>
    <mergeCell ref="D1:D2"/>
    <mergeCell ref="E1:E2"/>
    <mergeCell ref="F1:F2"/>
  </mergeCells>
  <conditionalFormatting sqref="F3">
    <cfRule type="duplicateValues" dxfId="3" priority="5"/>
  </conditionalFormatting>
  <conditionalFormatting sqref="F4:F5">
    <cfRule type="duplicateValues" dxfId="0" priority="194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7"/>
  <sheetViews>
    <sheetView workbookViewId="0">
      <selection activeCell="B21" sqref="B21"/>
    </sheetView>
  </sheetViews>
  <sheetFormatPr defaultColWidth="8.81640625" defaultRowHeight="12.5" x14ac:dyDescent="0.25"/>
  <cols>
    <col min="1" max="1" width="8.81640625" style="101"/>
    <col min="2" max="2" width="7.6328125" style="101" customWidth="1"/>
    <col min="3" max="11" width="7.6328125" style="105" customWidth="1"/>
    <col min="12" max="12" width="5.81640625" style="101" customWidth="1"/>
    <col min="13" max="16384" width="8.81640625" style="101"/>
  </cols>
  <sheetData>
    <row r="1" spans="1:11" ht="18" customHeight="1" x14ac:dyDescent="0.25">
      <c r="A1" s="103" t="s">
        <v>4</v>
      </c>
      <c r="B1" s="108" t="s">
        <v>30</v>
      </c>
      <c r="C1" s="108" t="s">
        <v>31</v>
      </c>
      <c r="D1" s="104" t="s">
        <v>33</v>
      </c>
      <c r="E1" s="104" t="s">
        <v>34</v>
      </c>
      <c r="F1" s="108" t="s">
        <v>35</v>
      </c>
      <c r="G1" s="108" t="s">
        <v>177</v>
      </c>
      <c r="H1" s="108" t="s">
        <v>1</v>
      </c>
      <c r="I1" s="104" t="s">
        <v>36</v>
      </c>
      <c r="J1" s="104" t="s">
        <v>177</v>
      </c>
      <c r="K1" s="104" t="s">
        <v>1</v>
      </c>
    </row>
    <row r="2" spans="1:11" ht="18" customHeight="1" x14ac:dyDescent="0.25">
      <c r="A2" s="103" t="s">
        <v>175</v>
      </c>
      <c r="B2" s="231">
        <v>75</v>
      </c>
      <c r="C2" s="231">
        <v>55</v>
      </c>
      <c r="D2" s="104">
        <v>55</v>
      </c>
      <c r="E2" s="104">
        <v>40</v>
      </c>
      <c r="F2" s="109">
        <v>49</v>
      </c>
      <c r="G2" s="110" t="s">
        <v>190</v>
      </c>
      <c r="H2" s="109">
        <f>49+2+14</f>
        <v>65</v>
      </c>
      <c r="I2" s="102">
        <v>32</v>
      </c>
      <c r="J2" s="104">
        <v>1</v>
      </c>
      <c r="K2" s="111">
        <f t="shared" ref="K2:K7" si="0">I2+J2</f>
        <v>33</v>
      </c>
    </row>
    <row r="3" spans="1:11" ht="18" customHeight="1" x14ac:dyDescent="0.25">
      <c r="A3" s="103" t="s">
        <v>176</v>
      </c>
      <c r="B3" s="232"/>
      <c r="C3" s="232"/>
      <c r="D3" s="104">
        <v>35</v>
      </c>
      <c r="E3" s="104"/>
      <c r="F3" s="109">
        <v>18</v>
      </c>
      <c r="G3" s="109">
        <v>3</v>
      </c>
      <c r="H3" s="109">
        <f t="shared" ref="H3:H8" si="1">F3+G3</f>
        <v>21</v>
      </c>
      <c r="I3" s="102">
        <v>15</v>
      </c>
      <c r="J3" s="102">
        <v>2</v>
      </c>
      <c r="K3" s="102">
        <f t="shared" si="0"/>
        <v>17</v>
      </c>
    </row>
    <row r="4" spans="1:11" ht="18" customHeight="1" x14ac:dyDescent="0.25">
      <c r="A4" s="103" t="s">
        <v>17</v>
      </c>
      <c r="B4" s="108">
        <v>60</v>
      </c>
      <c r="C4" s="108">
        <v>40</v>
      </c>
      <c r="D4" s="104"/>
      <c r="E4" s="104"/>
      <c r="F4" s="109">
        <v>53</v>
      </c>
      <c r="G4" s="108" t="s">
        <v>182</v>
      </c>
      <c r="H4" s="109">
        <v>64</v>
      </c>
      <c r="I4" s="102">
        <v>74</v>
      </c>
      <c r="J4" s="104" t="s">
        <v>183</v>
      </c>
      <c r="K4" s="102">
        <v>82</v>
      </c>
    </row>
    <row r="5" spans="1:11" ht="18" customHeight="1" x14ac:dyDescent="0.25">
      <c r="A5" s="103" t="s">
        <v>68</v>
      </c>
      <c r="B5" s="108">
        <v>45</v>
      </c>
      <c r="C5" s="108"/>
      <c r="D5" s="104"/>
      <c r="E5" s="104"/>
      <c r="F5" s="109">
        <v>26</v>
      </c>
      <c r="G5" s="108" t="s">
        <v>185</v>
      </c>
      <c r="H5" s="109">
        <v>40</v>
      </c>
      <c r="I5" s="102">
        <v>26</v>
      </c>
      <c r="J5" s="102"/>
      <c r="K5" s="102">
        <f t="shared" si="0"/>
        <v>26</v>
      </c>
    </row>
    <row r="6" spans="1:11" ht="18" customHeight="1" x14ac:dyDescent="0.25">
      <c r="A6" s="103" t="s">
        <v>66</v>
      </c>
      <c r="B6" s="108">
        <v>45</v>
      </c>
      <c r="C6" s="108"/>
      <c r="D6" s="104"/>
      <c r="E6" s="104"/>
      <c r="F6" s="109">
        <v>20</v>
      </c>
      <c r="G6" s="109"/>
      <c r="H6" s="109">
        <f t="shared" si="1"/>
        <v>20</v>
      </c>
      <c r="I6" s="102">
        <v>20</v>
      </c>
      <c r="J6" s="102"/>
      <c r="K6" s="102">
        <f t="shared" si="0"/>
        <v>20</v>
      </c>
    </row>
    <row r="7" spans="1:11" ht="18" customHeight="1" x14ac:dyDescent="0.25">
      <c r="A7" s="103" t="s">
        <v>40</v>
      </c>
      <c r="B7" s="108">
        <v>40</v>
      </c>
      <c r="C7" s="108">
        <v>40</v>
      </c>
      <c r="D7" s="104"/>
      <c r="E7" s="104"/>
      <c r="F7" s="109">
        <v>36</v>
      </c>
      <c r="G7" s="109"/>
      <c r="H7" s="109">
        <f t="shared" si="1"/>
        <v>36</v>
      </c>
      <c r="I7" s="102">
        <v>20</v>
      </c>
      <c r="J7" s="102"/>
      <c r="K7" s="102">
        <f t="shared" si="0"/>
        <v>20</v>
      </c>
    </row>
    <row r="8" spans="1:11" ht="18" customHeight="1" x14ac:dyDescent="0.25">
      <c r="A8" s="103" t="s">
        <v>37</v>
      </c>
      <c r="B8" s="108">
        <v>60</v>
      </c>
      <c r="C8" s="108"/>
      <c r="D8" s="104"/>
      <c r="E8" s="104"/>
      <c r="F8" s="109">
        <v>50</v>
      </c>
      <c r="G8" s="109">
        <v>2</v>
      </c>
      <c r="H8" s="109">
        <f t="shared" si="1"/>
        <v>52</v>
      </c>
      <c r="I8" s="102"/>
      <c r="J8" s="102"/>
      <c r="K8" s="102"/>
    </row>
    <row r="10" spans="1:11" ht="14.5" x14ac:dyDescent="0.25">
      <c r="A10" s="106" t="s">
        <v>179</v>
      </c>
      <c r="B10" s="106" t="s">
        <v>189</v>
      </c>
      <c r="C10" s="107"/>
      <c r="D10" s="107"/>
      <c r="E10" s="107"/>
      <c r="F10" s="107"/>
    </row>
    <row r="11" spans="1:11" x14ac:dyDescent="0.25">
      <c r="A11" s="106"/>
      <c r="B11" s="106"/>
      <c r="C11" s="107"/>
      <c r="D11" s="107"/>
      <c r="E11" s="107"/>
      <c r="F11" s="107"/>
    </row>
    <row r="12" spans="1:11" ht="14.5" x14ac:dyDescent="0.25">
      <c r="A12" s="106" t="s">
        <v>180</v>
      </c>
      <c r="B12" s="106" t="s">
        <v>178</v>
      </c>
      <c r="C12" s="107"/>
      <c r="D12" s="107"/>
    </row>
    <row r="13" spans="1:11" x14ac:dyDescent="0.25">
      <c r="B13" s="106" t="s">
        <v>187</v>
      </c>
      <c r="C13" s="107"/>
      <c r="D13" s="107"/>
    </row>
    <row r="14" spans="1:11" x14ac:dyDescent="0.25">
      <c r="B14" s="106"/>
      <c r="C14" s="107"/>
      <c r="D14" s="107"/>
    </row>
    <row r="15" spans="1:11" ht="14.5" x14ac:dyDescent="0.25">
      <c r="A15" s="106" t="s">
        <v>181</v>
      </c>
      <c r="B15" s="106" t="s">
        <v>184</v>
      </c>
    </row>
    <row r="16" spans="1:11" x14ac:dyDescent="0.25">
      <c r="B16" s="106" t="s">
        <v>186</v>
      </c>
    </row>
    <row r="17" spans="2:2" x14ac:dyDescent="0.25">
      <c r="B17" s="106" t="s">
        <v>188</v>
      </c>
    </row>
  </sheetData>
  <mergeCells count="2">
    <mergeCell ref="B2:B3"/>
    <mergeCell ref="C2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H11"/>
  <sheetViews>
    <sheetView topLeftCell="A4" workbookViewId="0">
      <selection activeCell="G15" sqref="G15"/>
    </sheetView>
  </sheetViews>
  <sheetFormatPr defaultColWidth="8.81640625" defaultRowHeight="13" x14ac:dyDescent="0.25"/>
  <cols>
    <col min="1" max="2" width="8.81640625" style="1"/>
    <col min="3" max="3" width="8.81640625" style="120"/>
    <col min="4" max="5" width="8.81640625" style="1"/>
    <col min="6" max="6" width="8.81640625" style="120"/>
    <col min="7" max="7" width="90.6328125" style="1" customWidth="1"/>
    <col min="8" max="8" width="8.81640625" style="120"/>
    <col min="9" max="16384" width="8.81640625" style="1"/>
  </cols>
  <sheetData>
    <row r="2" spans="1:8" x14ac:dyDescent="0.25">
      <c r="A2" s="233" t="s">
        <v>213</v>
      </c>
      <c r="B2" s="233"/>
      <c r="C2" s="233"/>
      <c r="D2" s="234" t="s">
        <v>217</v>
      </c>
      <c r="E2" s="234"/>
      <c r="F2" s="234"/>
      <c r="G2" s="235" t="s">
        <v>216</v>
      </c>
      <c r="H2" s="233" t="s">
        <v>218</v>
      </c>
    </row>
    <row r="3" spans="1:8" x14ac:dyDescent="0.25">
      <c r="A3" s="115" t="s">
        <v>214</v>
      </c>
      <c r="B3" s="115" t="s">
        <v>0</v>
      </c>
      <c r="C3" s="116" t="s">
        <v>215</v>
      </c>
      <c r="D3" s="117" t="s">
        <v>214</v>
      </c>
      <c r="E3" s="117" t="s">
        <v>0</v>
      </c>
      <c r="F3" s="118" t="s">
        <v>215</v>
      </c>
      <c r="G3" s="236"/>
      <c r="H3" s="237"/>
    </row>
    <row r="4" spans="1:8" x14ac:dyDescent="0.25">
      <c r="A4" s="112" t="s">
        <v>191</v>
      </c>
      <c r="B4" s="112" t="s">
        <v>152</v>
      </c>
      <c r="C4" s="113">
        <v>4</v>
      </c>
      <c r="D4" s="119" t="s">
        <v>141</v>
      </c>
      <c r="E4" s="119" t="s">
        <v>152</v>
      </c>
      <c r="F4" s="96">
        <v>6</v>
      </c>
      <c r="G4" s="112" t="s">
        <v>197</v>
      </c>
      <c r="H4" s="113">
        <v>1</v>
      </c>
    </row>
    <row r="5" spans="1:8" x14ac:dyDescent="0.25">
      <c r="A5" s="112" t="s">
        <v>192</v>
      </c>
      <c r="B5" s="112" t="s">
        <v>193</v>
      </c>
      <c r="C5" s="113">
        <v>6</v>
      </c>
      <c r="D5" s="119" t="s">
        <v>140</v>
      </c>
      <c r="E5" s="119" t="s">
        <v>151</v>
      </c>
      <c r="F5" s="96">
        <v>6</v>
      </c>
      <c r="G5" s="112" t="s">
        <v>196</v>
      </c>
      <c r="H5" s="113">
        <v>1</v>
      </c>
    </row>
    <row r="6" spans="1:8" x14ac:dyDescent="0.25">
      <c r="A6" s="112" t="s">
        <v>194</v>
      </c>
      <c r="B6" s="112" t="s">
        <v>195</v>
      </c>
      <c r="C6" s="113">
        <v>3</v>
      </c>
      <c r="D6" s="119" t="s">
        <v>143</v>
      </c>
      <c r="E6" s="119" t="s">
        <v>195</v>
      </c>
      <c r="F6" s="96">
        <v>5</v>
      </c>
      <c r="G6" s="112" t="s">
        <v>201</v>
      </c>
      <c r="H6" s="113">
        <v>2</v>
      </c>
    </row>
    <row r="7" spans="1:8" x14ac:dyDescent="0.25">
      <c r="A7" s="112" t="s">
        <v>198</v>
      </c>
      <c r="B7" s="112" t="s">
        <v>199</v>
      </c>
      <c r="C7" s="113">
        <v>6</v>
      </c>
      <c r="D7" s="119" t="s">
        <v>144</v>
      </c>
      <c r="E7" s="119" t="s">
        <v>200</v>
      </c>
      <c r="F7" s="96">
        <v>4</v>
      </c>
      <c r="G7" s="112" t="s">
        <v>202</v>
      </c>
      <c r="H7" s="113" t="s">
        <v>219</v>
      </c>
    </row>
    <row r="8" spans="1:8" x14ac:dyDescent="0.25">
      <c r="A8" s="112" t="s">
        <v>203</v>
      </c>
      <c r="B8" s="112" t="s">
        <v>153</v>
      </c>
      <c r="C8" s="113">
        <v>4</v>
      </c>
      <c r="D8" s="119" t="s">
        <v>142</v>
      </c>
      <c r="E8" s="119" t="s">
        <v>153</v>
      </c>
      <c r="F8" s="96">
        <v>4</v>
      </c>
      <c r="G8" s="112" t="s">
        <v>204</v>
      </c>
      <c r="H8" s="113">
        <v>1</v>
      </c>
    </row>
    <row r="9" spans="1:8" x14ac:dyDescent="0.25">
      <c r="A9" s="112" t="s">
        <v>205</v>
      </c>
      <c r="B9" s="112" t="s">
        <v>156</v>
      </c>
      <c r="C9" s="113">
        <v>4</v>
      </c>
      <c r="D9" s="119" t="s">
        <v>147</v>
      </c>
      <c r="E9" s="119" t="s">
        <v>156</v>
      </c>
      <c r="F9" s="96">
        <v>6</v>
      </c>
      <c r="G9" s="112" t="s">
        <v>206</v>
      </c>
      <c r="H9" s="113">
        <v>2</v>
      </c>
    </row>
    <row r="10" spans="1:8" x14ac:dyDescent="0.25">
      <c r="A10" s="112" t="s">
        <v>207</v>
      </c>
      <c r="B10" s="112" t="s">
        <v>208</v>
      </c>
      <c r="C10" s="113">
        <v>4</v>
      </c>
      <c r="D10" s="119" t="s">
        <v>145</v>
      </c>
      <c r="E10" s="119" t="s">
        <v>154</v>
      </c>
      <c r="F10" s="96">
        <v>6</v>
      </c>
      <c r="G10" s="112" t="s">
        <v>209</v>
      </c>
      <c r="H10" s="113">
        <v>2</v>
      </c>
    </row>
    <row r="11" spans="1:8" x14ac:dyDescent="0.25">
      <c r="A11" s="112" t="s">
        <v>210</v>
      </c>
      <c r="B11" s="112" t="s">
        <v>211</v>
      </c>
      <c r="C11" s="113">
        <v>4</v>
      </c>
      <c r="D11" s="119" t="s">
        <v>146</v>
      </c>
      <c r="E11" s="119" t="s">
        <v>155</v>
      </c>
      <c r="F11" s="96">
        <v>4</v>
      </c>
      <c r="G11" s="112" t="s">
        <v>212</v>
      </c>
      <c r="H11" s="113">
        <v>2</v>
      </c>
    </row>
  </sheetData>
  <mergeCells count="4">
    <mergeCell ref="A2:C2"/>
    <mergeCell ref="D2:F2"/>
    <mergeCell ref="G2:G3"/>
    <mergeCell ref="H2:H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X35"/>
  <sheetViews>
    <sheetView topLeftCell="A4" zoomScale="128" workbookViewId="0">
      <pane xSplit="2" ySplit="5" topLeftCell="C9" activePane="bottomRight" state="frozen"/>
      <selection activeCell="A4" sqref="A4"/>
      <selection pane="topRight" activeCell="C4" sqref="C4"/>
      <selection pane="bottomLeft" activeCell="A9" sqref="A9"/>
      <selection pane="bottomRight" activeCell="G10" sqref="G10"/>
    </sheetView>
  </sheetViews>
  <sheetFormatPr defaultColWidth="9.1796875" defaultRowHeight="13" x14ac:dyDescent="0.3"/>
  <cols>
    <col min="1" max="2" width="9.1796875" style="9"/>
    <col min="3" max="18" width="4.6328125" style="21" customWidth="1"/>
    <col min="19" max="20" width="6.6328125" style="21" customWidth="1"/>
    <col min="21" max="22" width="7.1796875" style="21" customWidth="1"/>
    <col min="23" max="23" width="9.1796875" style="9"/>
    <col min="24" max="16384" width="9.1796875" style="8"/>
  </cols>
  <sheetData>
    <row r="1" spans="1:24" ht="18.5" x14ac:dyDescent="0.45">
      <c r="A1" s="6" t="s">
        <v>172</v>
      </c>
    </row>
    <row r="4" spans="1:24" s="9" customFormat="1" ht="12.75" customHeight="1" x14ac:dyDescent="0.3">
      <c r="A4" s="247" t="s">
        <v>4</v>
      </c>
      <c r="B4" s="248"/>
      <c r="C4" s="242" t="s">
        <v>80</v>
      </c>
      <c r="D4" s="243"/>
      <c r="E4" s="240" t="s">
        <v>86</v>
      </c>
      <c r="F4" s="241"/>
      <c r="G4" s="242" t="s">
        <v>87</v>
      </c>
      <c r="H4" s="243"/>
      <c r="I4" s="240" t="s">
        <v>88</v>
      </c>
      <c r="J4" s="241"/>
      <c r="K4" s="242" t="s">
        <v>101</v>
      </c>
      <c r="L4" s="243"/>
      <c r="M4" s="240" t="s">
        <v>101</v>
      </c>
      <c r="N4" s="241"/>
      <c r="O4" s="242" t="s">
        <v>230</v>
      </c>
      <c r="P4" s="243"/>
      <c r="Q4" s="240" t="s">
        <v>231</v>
      </c>
      <c r="R4" s="241"/>
      <c r="S4" s="244" t="s">
        <v>1</v>
      </c>
      <c r="T4" s="249" t="s">
        <v>1</v>
      </c>
      <c r="U4" s="244" t="s">
        <v>81</v>
      </c>
      <c r="V4" s="249" t="s">
        <v>81</v>
      </c>
    </row>
    <row r="5" spans="1:24" s="9" customFormat="1" x14ac:dyDescent="0.3">
      <c r="A5" s="247" t="s">
        <v>82</v>
      </c>
      <c r="B5" s="248"/>
      <c r="C5" s="62">
        <f>Details!$U$5</f>
        <v>0</v>
      </c>
      <c r="D5" s="63">
        <f>Details!$V$5</f>
        <v>0</v>
      </c>
      <c r="E5" s="64">
        <v>0</v>
      </c>
      <c r="F5" s="65">
        <f>Details!$AF$4+Details!$AG$4</f>
        <v>0</v>
      </c>
      <c r="G5" s="62">
        <f>Details!$AF$5</f>
        <v>0</v>
      </c>
      <c r="H5" s="63">
        <f>Details!$AG$5</f>
        <v>0</v>
      </c>
      <c r="I5" s="64">
        <v>0</v>
      </c>
      <c r="J5" s="65">
        <f>Details!$M$4</f>
        <v>0</v>
      </c>
      <c r="K5" s="63">
        <f>Details!$K$4+Details!$L$4</f>
        <v>0</v>
      </c>
      <c r="L5" s="63">
        <v>0</v>
      </c>
      <c r="M5" s="64">
        <v>0</v>
      </c>
      <c r="N5" s="64">
        <f>Details!$K$4+Details!$L$4</f>
        <v>0</v>
      </c>
      <c r="O5" s="63">
        <f>Details!$M$5</f>
        <v>0</v>
      </c>
      <c r="P5" s="63">
        <f>Details!$N$5</f>
        <v>0</v>
      </c>
      <c r="Q5" s="64">
        <f>Details!$K$5</f>
        <v>0</v>
      </c>
      <c r="R5" s="64">
        <f>Details!$L$5</f>
        <v>0</v>
      </c>
      <c r="S5" s="245"/>
      <c r="T5" s="250"/>
      <c r="U5" s="245"/>
      <c r="V5" s="250"/>
      <c r="X5" s="8" t="s">
        <v>232</v>
      </c>
    </row>
    <row r="6" spans="1:24" s="9" customFormat="1" ht="10.5" x14ac:dyDescent="0.25">
      <c r="A6" s="247" t="s">
        <v>83</v>
      </c>
      <c r="B6" s="248"/>
      <c r="C6" s="66">
        <f>10+4</f>
        <v>14</v>
      </c>
      <c r="D6" s="66">
        <v>4</v>
      </c>
      <c r="E6" s="26"/>
      <c r="F6" s="26"/>
      <c r="G6" s="66"/>
      <c r="H6" s="66"/>
      <c r="I6" s="26"/>
      <c r="J6" s="26"/>
      <c r="K6" s="66"/>
      <c r="L6" s="66"/>
      <c r="M6" s="26"/>
      <c r="N6" s="26"/>
      <c r="O6" s="66"/>
      <c r="P6" s="66"/>
      <c r="Q6" s="26"/>
      <c r="R6" s="26"/>
      <c r="S6" s="246"/>
      <c r="T6" s="251"/>
      <c r="U6" s="246"/>
      <c r="V6" s="251"/>
    </row>
    <row r="7" spans="1:24" s="9" customFormat="1" ht="10.5" x14ac:dyDescent="0.25">
      <c r="A7" s="247" t="s">
        <v>84</v>
      </c>
      <c r="B7" s="248"/>
      <c r="C7" s="66" t="s">
        <v>51</v>
      </c>
      <c r="D7" s="66" t="s">
        <v>50</v>
      </c>
      <c r="E7" s="26" t="s">
        <v>51</v>
      </c>
      <c r="F7" s="26" t="s">
        <v>50</v>
      </c>
      <c r="G7" s="66" t="s">
        <v>51</v>
      </c>
      <c r="H7" s="66" t="s">
        <v>50</v>
      </c>
      <c r="I7" s="26" t="s">
        <v>51</v>
      </c>
      <c r="J7" s="26" t="s">
        <v>50</v>
      </c>
      <c r="K7" s="66" t="s">
        <v>51</v>
      </c>
      <c r="L7" s="66" t="s">
        <v>50</v>
      </c>
      <c r="M7" s="65" t="s">
        <v>51</v>
      </c>
      <c r="N7" s="65" t="s">
        <v>50</v>
      </c>
      <c r="O7" s="62" t="s">
        <v>51</v>
      </c>
      <c r="P7" s="62" t="s">
        <v>50</v>
      </c>
      <c r="Q7" s="65" t="s">
        <v>51</v>
      </c>
      <c r="R7" s="65" t="s">
        <v>50</v>
      </c>
      <c r="S7" s="62" t="s">
        <v>51</v>
      </c>
      <c r="T7" s="65" t="s">
        <v>50</v>
      </c>
      <c r="U7" s="62" t="s">
        <v>51</v>
      </c>
      <c r="V7" s="65" t="s">
        <v>50</v>
      </c>
    </row>
    <row r="8" spans="1:24" s="9" customFormat="1" ht="10.5" x14ac:dyDescent="0.25">
      <c r="A8" s="135" t="s">
        <v>131</v>
      </c>
      <c r="B8" s="135" t="s">
        <v>115</v>
      </c>
      <c r="C8" s="125">
        <v>23</v>
      </c>
      <c r="D8" s="125">
        <v>32</v>
      </c>
      <c r="E8" s="26"/>
      <c r="F8" s="26"/>
      <c r="G8" s="66"/>
      <c r="H8" s="66"/>
      <c r="I8" s="26"/>
      <c r="J8" s="26"/>
      <c r="K8" s="66"/>
      <c r="L8" s="66"/>
      <c r="M8" s="65"/>
      <c r="N8" s="65"/>
      <c r="O8" s="62"/>
      <c r="P8" s="62"/>
      <c r="Q8" s="65"/>
      <c r="R8" s="65"/>
      <c r="S8" s="62">
        <f t="shared" ref="S8:T32" si="0">C8+E8+G8+I8+K8+M8+O8+Q8</f>
        <v>23</v>
      </c>
      <c r="T8" s="65">
        <f t="shared" si="0"/>
        <v>32</v>
      </c>
      <c r="U8" s="67">
        <f>ROUND(S8/20,0)</f>
        <v>1</v>
      </c>
      <c r="V8" s="11">
        <f>ROUNDUP(T8/22,0)</f>
        <v>2</v>
      </c>
    </row>
    <row r="9" spans="1:24" x14ac:dyDescent="0.3">
      <c r="A9" s="68" t="s">
        <v>60</v>
      </c>
      <c r="B9" s="68" t="s">
        <v>52</v>
      </c>
      <c r="C9" s="67">
        <v>0</v>
      </c>
      <c r="D9" s="125">
        <v>11</v>
      </c>
      <c r="E9" s="11"/>
      <c r="F9" s="11"/>
      <c r="G9" s="67"/>
      <c r="H9" s="67"/>
      <c r="I9" s="11"/>
      <c r="J9" s="11"/>
      <c r="K9" s="67"/>
      <c r="L9" s="67"/>
      <c r="M9" s="11"/>
      <c r="N9" s="11"/>
      <c r="O9" s="67"/>
      <c r="P9" s="67"/>
      <c r="Q9" s="11"/>
      <c r="R9" s="11"/>
      <c r="S9" s="62">
        <f t="shared" si="0"/>
        <v>0</v>
      </c>
      <c r="T9" s="65">
        <f t="shared" si="0"/>
        <v>11</v>
      </c>
      <c r="U9" s="67">
        <f t="shared" ref="U9:U32" si="1">ROUND(S9/20,0)</f>
        <v>0</v>
      </c>
      <c r="V9" s="11">
        <f t="shared" ref="V9:V31" si="2">ROUNDUP(T9/22,0)</f>
        <v>1</v>
      </c>
    </row>
    <row r="10" spans="1:24" x14ac:dyDescent="0.3">
      <c r="A10" s="68" t="s">
        <v>96</v>
      </c>
      <c r="B10" s="68" t="s">
        <v>124</v>
      </c>
      <c r="C10" s="67"/>
      <c r="D10" s="67"/>
      <c r="E10" s="11"/>
      <c r="F10" s="11"/>
      <c r="G10" s="67"/>
      <c r="H10" s="67"/>
      <c r="I10" s="11"/>
      <c r="J10" s="11"/>
      <c r="K10" s="67">
        <v>0</v>
      </c>
      <c r="L10" s="67">
        <v>0</v>
      </c>
      <c r="M10" s="11"/>
      <c r="N10" s="11"/>
      <c r="O10" s="67"/>
      <c r="P10" s="67"/>
      <c r="Q10" s="11"/>
      <c r="R10" s="11"/>
      <c r="S10" s="62">
        <f t="shared" si="0"/>
        <v>0</v>
      </c>
      <c r="T10" s="65">
        <f t="shared" si="0"/>
        <v>0</v>
      </c>
      <c r="U10" s="67">
        <f t="shared" si="1"/>
        <v>0</v>
      </c>
      <c r="V10" s="11">
        <f t="shared" si="2"/>
        <v>0</v>
      </c>
    </row>
    <row r="11" spans="1:24" x14ac:dyDescent="0.3">
      <c r="A11" s="68" t="s">
        <v>98</v>
      </c>
      <c r="B11" s="68" t="s">
        <v>65</v>
      </c>
      <c r="C11" s="67"/>
      <c r="D11" s="67"/>
      <c r="E11" s="11"/>
      <c r="F11" s="11"/>
      <c r="G11" s="67"/>
      <c r="H11" s="67"/>
      <c r="I11" s="11"/>
      <c r="J11" s="11"/>
      <c r="K11" s="125">
        <v>35</v>
      </c>
      <c r="L11" s="67"/>
      <c r="M11" s="11"/>
      <c r="N11" s="11"/>
      <c r="O11" s="67"/>
      <c r="P11" s="67"/>
      <c r="Q11" s="11"/>
      <c r="R11" s="11"/>
      <c r="S11" s="62">
        <f t="shared" si="0"/>
        <v>35</v>
      </c>
      <c r="T11" s="65">
        <f t="shared" si="0"/>
        <v>0</v>
      </c>
      <c r="U11" s="67">
        <f t="shared" si="1"/>
        <v>2</v>
      </c>
      <c r="V11" s="11">
        <f t="shared" si="2"/>
        <v>0</v>
      </c>
    </row>
    <row r="12" spans="1:24" x14ac:dyDescent="0.3">
      <c r="A12" s="68" t="s">
        <v>120</v>
      </c>
      <c r="B12" s="68" t="s">
        <v>111</v>
      </c>
      <c r="C12" s="67"/>
      <c r="D12" s="67"/>
      <c r="E12" s="11"/>
      <c r="F12" s="11"/>
      <c r="G12" s="67"/>
      <c r="H12" s="67"/>
      <c r="I12" s="11"/>
      <c r="J12" s="11"/>
      <c r="K12" s="67"/>
      <c r="L12" s="67"/>
      <c r="M12" s="11">
        <v>0</v>
      </c>
      <c r="N12" s="11">
        <v>0</v>
      </c>
      <c r="O12" s="67"/>
      <c r="P12" s="67"/>
      <c r="Q12" s="11"/>
      <c r="R12" s="11">
        <v>0</v>
      </c>
      <c r="S12" s="62">
        <f t="shared" si="0"/>
        <v>0</v>
      </c>
      <c r="T12" s="65">
        <f t="shared" si="0"/>
        <v>0</v>
      </c>
      <c r="U12" s="67">
        <f t="shared" si="1"/>
        <v>0</v>
      </c>
      <c r="V12" s="11">
        <f t="shared" si="2"/>
        <v>0</v>
      </c>
    </row>
    <row r="13" spans="1:24" x14ac:dyDescent="0.3">
      <c r="A13" s="68" t="s">
        <v>129</v>
      </c>
      <c r="B13" s="68" t="s">
        <v>114</v>
      </c>
      <c r="C13" s="67"/>
      <c r="D13" s="67"/>
      <c r="E13" s="11"/>
      <c r="F13" s="11"/>
      <c r="G13" s="67">
        <v>0</v>
      </c>
      <c r="H13" s="67">
        <v>0</v>
      </c>
      <c r="I13" s="11"/>
      <c r="J13" s="11"/>
      <c r="K13" s="67"/>
      <c r="L13" s="67"/>
      <c r="M13" s="11"/>
      <c r="N13" s="11"/>
      <c r="O13" s="67"/>
      <c r="P13" s="67"/>
      <c r="Q13" s="11"/>
      <c r="R13" s="11"/>
      <c r="S13" s="62">
        <f t="shared" si="0"/>
        <v>0</v>
      </c>
      <c r="T13" s="65">
        <f t="shared" si="0"/>
        <v>0</v>
      </c>
      <c r="U13" s="67">
        <f t="shared" si="1"/>
        <v>0</v>
      </c>
      <c r="V13" s="11">
        <f t="shared" si="2"/>
        <v>0</v>
      </c>
    </row>
    <row r="14" spans="1:24" x14ac:dyDescent="0.3">
      <c r="A14" s="68" t="s">
        <v>106</v>
      </c>
      <c r="B14" s="68" t="s">
        <v>100</v>
      </c>
      <c r="C14" s="67"/>
      <c r="D14" s="67"/>
      <c r="E14" s="11">
        <v>0</v>
      </c>
      <c r="F14" s="11">
        <v>0</v>
      </c>
      <c r="G14" s="67"/>
      <c r="H14" s="67"/>
      <c r="I14" s="11"/>
      <c r="J14" s="11"/>
      <c r="K14" s="67"/>
      <c r="L14" s="67"/>
      <c r="M14" s="11"/>
      <c r="N14" s="11"/>
      <c r="O14" s="67"/>
      <c r="P14" s="67"/>
      <c r="Q14" s="11"/>
      <c r="R14" s="11"/>
      <c r="S14" s="62">
        <f t="shared" si="0"/>
        <v>0</v>
      </c>
      <c r="T14" s="65">
        <f t="shared" si="0"/>
        <v>0</v>
      </c>
      <c r="U14" s="67">
        <f t="shared" si="1"/>
        <v>0</v>
      </c>
      <c r="V14" s="11">
        <f t="shared" si="2"/>
        <v>0</v>
      </c>
    </row>
    <row r="15" spans="1:24" x14ac:dyDescent="0.3">
      <c r="A15" s="68" t="s">
        <v>102</v>
      </c>
      <c r="B15" s="68" t="s">
        <v>103</v>
      </c>
      <c r="C15" s="67"/>
      <c r="D15" s="67"/>
      <c r="E15" s="11">
        <v>0</v>
      </c>
      <c r="F15" s="11">
        <v>0</v>
      </c>
      <c r="G15" s="67"/>
      <c r="H15" s="67"/>
      <c r="I15" s="11"/>
      <c r="J15" s="11"/>
      <c r="K15" s="67"/>
      <c r="L15" s="67"/>
      <c r="M15" s="11"/>
      <c r="N15" s="11"/>
      <c r="O15" s="67"/>
      <c r="P15" s="67"/>
      <c r="Q15" s="11"/>
      <c r="R15" s="11"/>
      <c r="S15" s="62">
        <f t="shared" si="0"/>
        <v>0</v>
      </c>
      <c r="T15" s="65">
        <f t="shared" si="0"/>
        <v>0</v>
      </c>
      <c r="U15" s="67">
        <f t="shared" si="1"/>
        <v>0</v>
      </c>
      <c r="V15" s="11">
        <f t="shared" si="2"/>
        <v>0</v>
      </c>
    </row>
    <row r="16" spans="1:24" x14ac:dyDescent="0.3">
      <c r="A16" s="68" t="s">
        <v>95</v>
      </c>
      <c r="B16" s="68" t="s">
        <v>117</v>
      </c>
      <c r="C16" s="67"/>
      <c r="D16" s="67"/>
      <c r="E16" s="11"/>
      <c r="F16" s="11"/>
      <c r="G16" s="67"/>
      <c r="H16" s="67"/>
      <c r="I16" s="11">
        <v>0</v>
      </c>
      <c r="J16" s="11">
        <v>0</v>
      </c>
      <c r="K16" s="67"/>
      <c r="L16" s="67"/>
      <c r="M16" s="11"/>
      <c r="N16" s="11"/>
      <c r="O16" s="67"/>
      <c r="P16" s="67"/>
      <c r="Q16" s="11"/>
      <c r="R16" s="11"/>
      <c r="S16" s="62">
        <f t="shared" si="0"/>
        <v>0</v>
      </c>
      <c r="T16" s="65">
        <f t="shared" si="0"/>
        <v>0</v>
      </c>
      <c r="U16" s="67">
        <f t="shared" si="1"/>
        <v>0</v>
      </c>
      <c r="V16" s="11">
        <f t="shared" si="2"/>
        <v>0</v>
      </c>
    </row>
    <row r="17" spans="1:24" x14ac:dyDescent="0.3">
      <c r="A17" s="68" t="s">
        <v>121</v>
      </c>
      <c r="B17" s="68" t="s">
        <v>112</v>
      </c>
      <c r="C17" s="67"/>
      <c r="D17" s="67"/>
      <c r="E17" s="11"/>
      <c r="F17" s="11"/>
      <c r="G17" s="67"/>
      <c r="H17" s="67"/>
      <c r="I17" s="11">
        <v>0</v>
      </c>
      <c r="J17" s="11">
        <v>0</v>
      </c>
      <c r="K17" s="67"/>
      <c r="L17" s="67"/>
      <c r="M17" s="11">
        <v>0</v>
      </c>
      <c r="N17" s="11">
        <v>0</v>
      </c>
      <c r="O17" s="67"/>
      <c r="P17" s="67"/>
      <c r="Q17" s="11"/>
      <c r="R17" s="11"/>
      <c r="S17" s="62">
        <f t="shared" si="0"/>
        <v>0</v>
      </c>
      <c r="T17" s="65">
        <f t="shared" si="0"/>
        <v>0</v>
      </c>
      <c r="U17" s="67">
        <f t="shared" si="1"/>
        <v>0</v>
      </c>
      <c r="V17" s="11">
        <f t="shared" si="2"/>
        <v>0</v>
      </c>
    </row>
    <row r="18" spans="1:24" x14ac:dyDescent="0.3">
      <c r="A18" s="68" t="s">
        <v>8</v>
      </c>
      <c r="B18" s="68" t="s">
        <v>113</v>
      </c>
      <c r="C18" s="67"/>
      <c r="D18" s="67"/>
      <c r="E18" s="11"/>
      <c r="F18" s="11"/>
      <c r="G18" s="67"/>
      <c r="H18" s="67"/>
      <c r="I18" s="11">
        <v>0</v>
      </c>
      <c r="J18" s="11">
        <v>0</v>
      </c>
      <c r="K18" s="67">
        <v>0</v>
      </c>
      <c r="L18" s="67">
        <v>0</v>
      </c>
      <c r="M18" s="11">
        <v>0</v>
      </c>
      <c r="N18" s="11">
        <v>0</v>
      </c>
      <c r="O18" s="67"/>
      <c r="P18" s="67"/>
      <c r="Q18" s="11"/>
      <c r="R18" s="11"/>
      <c r="S18" s="62">
        <f t="shared" si="0"/>
        <v>0</v>
      </c>
      <c r="T18" s="65">
        <f t="shared" si="0"/>
        <v>0</v>
      </c>
      <c r="U18" s="67">
        <f t="shared" si="1"/>
        <v>0</v>
      </c>
      <c r="V18" s="11">
        <f t="shared" si="2"/>
        <v>0</v>
      </c>
      <c r="X18" s="8" t="s">
        <v>233</v>
      </c>
    </row>
    <row r="19" spans="1:24" x14ac:dyDescent="0.3">
      <c r="A19" s="68" t="s">
        <v>118</v>
      </c>
      <c r="B19" s="68" t="s">
        <v>108</v>
      </c>
      <c r="C19" s="67">
        <v>0</v>
      </c>
      <c r="D19" s="67">
        <v>0</v>
      </c>
      <c r="E19" s="11"/>
      <c r="F19" s="11"/>
      <c r="G19" s="67"/>
      <c r="H19" s="67"/>
      <c r="I19" s="11"/>
      <c r="J19" s="11"/>
      <c r="K19" s="125">
        <v>38</v>
      </c>
      <c r="L19" s="67"/>
      <c r="M19" s="11">
        <v>0</v>
      </c>
      <c r="N19" s="11">
        <v>0</v>
      </c>
      <c r="O19" s="67">
        <v>0</v>
      </c>
      <c r="P19" s="67">
        <v>0</v>
      </c>
      <c r="Q19" s="11"/>
      <c r="R19" s="11"/>
      <c r="S19" s="62">
        <f t="shared" si="0"/>
        <v>38</v>
      </c>
      <c r="T19" s="65">
        <f t="shared" si="0"/>
        <v>0</v>
      </c>
      <c r="U19" s="67">
        <f t="shared" si="1"/>
        <v>2</v>
      </c>
      <c r="V19" s="11">
        <f t="shared" si="2"/>
        <v>0</v>
      </c>
    </row>
    <row r="20" spans="1:24" x14ac:dyDescent="0.3">
      <c r="A20" s="68" t="s">
        <v>126</v>
      </c>
      <c r="B20" s="68" t="s">
        <v>125</v>
      </c>
      <c r="C20" s="67"/>
      <c r="D20" s="67"/>
      <c r="E20" s="11"/>
      <c r="F20" s="11"/>
      <c r="G20" s="67"/>
      <c r="H20" s="67"/>
      <c r="I20" s="11"/>
      <c r="J20" s="11"/>
      <c r="K20" s="67"/>
      <c r="L20" s="67"/>
      <c r="M20" s="11"/>
      <c r="N20" s="11"/>
      <c r="O20" s="67"/>
      <c r="P20" s="67"/>
      <c r="Q20" s="11">
        <v>0</v>
      </c>
      <c r="R20" s="11">
        <v>0</v>
      </c>
      <c r="S20" s="62">
        <f t="shared" si="0"/>
        <v>0</v>
      </c>
      <c r="T20" s="65">
        <f t="shared" si="0"/>
        <v>0</v>
      </c>
      <c r="U20" s="67">
        <f t="shared" si="1"/>
        <v>0</v>
      </c>
      <c r="V20" s="11">
        <f t="shared" si="2"/>
        <v>0</v>
      </c>
    </row>
    <row r="21" spans="1:24" x14ac:dyDescent="0.3">
      <c r="A21" s="68" t="s">
        <v>97</v>
      </c>
      <c r="B21" s="68" t="s">
        <v>109</v>
      </c>
      <c r="C21" s="67"/>
      <c r="D21" s="67"/>
      <c r="E21" s="11"/>
      <c r="F21" s="11"/>
      <c r="G21" s="67"/>
      <c r="H21" s="67"/>
      <c r="I21" s="11"/>
      <c r="J21" s="11"/>
      <c r="K21" s="67">
        <v>0</v>
      </c>
      <c r="L21" s="67">
        <v>0</v>
      </c>
      <c r="M21" s="11">
        <v>0</v>
      </c>
      <c r="N21" s="11">
        <v>0</v>
      </c>
      <c r="O21" s="67"/>
      <c r="P21" s="67"/>
      <c r="Q21" s="11"/>
      <c r="R21" s="11"/>
      <c r="S21" s="62">
        <f t="shared" si="0"/>
        <v>0</v>
      </c>
      <c r="T21" s="65">
        <f t="shared" si="0"/>
        <v>0</v>
      </c>
      <c r="U21" s="67">
        <f t="shared" si="1"/>
        <v>0</v>
      </c>
      <c r="V21" s="11">
        <f t="shared" si="2"/>
        <v>0</v>
      </c>
      <c r="X21" s="8" t="s">
        <v>233</v>
      </c>
    </row>
    <row r="22" spans="1:24" x14ac:dyDescent="0.3">
      <c r="A22" s="68" t="s">
        <v>55</v>
      </c>
      <c r="B22" s="68" t="s">
        <v>56</v>
      </c>
      <c r="C22" s="67"/>
      <c r="D22" s="67"/>
      <c r="E22" s="11"/>
      <c r="F22" s="11"/>
      <c r="G22" s="67">
        <v>0</v>
      </c>
      <c r="H22" s="67">
        <v>0</v>
      </c>
      <c r="I22" s="11"/>
      <c r="J22" s="11"/>
      <c r="K22" s="125">
        <v>39</v>
      </c>
      <c r="L22" s="67"/>
      <c r="M22" s="11"/>
      <c r="N22" s="11"/>
      <c r="O22" s="67">
        <v>0</v>
      </c>
      <c r="P22" s="67">
        <v>0</v>
      </c>
      <c r="Q22" s="11">
        <v>0</v>
      </c>
      <c r="R22" s="11">
        <v>0</v>
      </c>
      <c r="S22" s="62">
        <f t="shared" si="0"/>
        <v>39</v>
      </c>
      <c r="T22" s="65">
        <f t="shared" si="0"/>
        <v>0</v>
      </c>
      <c r="U22" s="67">
        <f t="shared" si="1"/>
        <v>2</v>
      </c>
      <c r="V22" s="11">
        <f t="shared" si="2"/>
        <v>0</v>
      </c>
    </row>
    <row r="23" spans="1:24" x14ac:dyDescent="0.3">
      <c r="A23" s="68" t="s">
        <v>78</v>
      </c>
      <c r="B23" s="68" t="s">
        <v>79</v>
      </c>
      <c r="C23" s="67"/>
      <c r="D23" s="67"/>
      <c r="E23" s="11"/>
      <c r="F23" s="11"/>
      <c r="G23" s="67"/>
      <c r="H23" s="67"/>
      <c r="I23" s="11"/>
      <c r="J23" s="11"/>
      <c r="K23" s="67"/>
      <c r="L23" s="67"/>
      <c r="M23" s="11"/>
      <c r="N23" s="11"/>
      <c r="O23" s="67">
        <v>0</v>
      </c>
      <c r="P23" s="67">
        <v>0</v>
      </c>
      <c r="Q23" s="11">
        <v>0</v>
      </c>
      <c r="R23" s="11">
        <v>0</v>
      </c>
      <c r="S23" s="62">
        <f t="shared" si="0"/>
        <v>0</v>
      </c>
      <c r="T23" s="65">
        <f t="shared" si="0"/>
        <v>0</v>
      </c>
      <c r="U23" s="67">
        <f t="shared" si="1"/>
        <v>0</v>
      </c>
      <c r="V23" s="11">
        <f t="shared" si="2"/>
        <v>0</v>
      </c>
    </row>
    <row r="24" spans="1:24" x14ac:dyDescent="0.3">
      <c r="A24" s="68" t="s">
        <v>150</v>
      </c>
      <c r="B24" s="68" t="s">
        <v>137</v>
      </c>
      <c r="C24" s="67">
        <v>0</v>
      </c>
      <c r="D24" s="67">
        <v>0</v>
      </c>
      <c r="E24" s="11"/>
      <c r="F24" s="11"/>
      <c r="G24" s="67"/>
      <c r="H24" s="67"/>
      <c r="I24" s="11"/>
      <c r="J24" s="11"/>
      <c r="K24" s="67"/>
      <c r="L24" s="67"/>
      <c r="M24" s="11"/>
      <c r="N24" s="11"/>
      <c r="O24" s="67"/>
      <c r="P24" s="67"/>
      <c r="Q24" s="11"/>
      <c r="R24" s="11"/>
      <c r="S24" s="62">
        <f t="shared" si="0"/>
        <v>0</v>
      </c>
      <c r="T24" s="65">
        <f t="shared" si="0"/>
        <v>0</v>
      </c>
      <c r="U24" s="67">
        <f t="shared" si="1"/>
        <v>0</v>
      </c>
      <c r="V24" s="11">
        <f t="shared" si="2"/>
        <v>0</v>
      </c>
    </row>
    <row r="25" spans="1:24" x14ac:dyDescent="0.3">
      <c r="A25" s="68" t="s">
        <v>105</v>
      </c>
      <c r="B25" s="68" t="s">
        <v>138</v>
      </c>
      <c r="C25" s="67"/>
      <c r="D25" s="67"/>
      <c r="E25" s="11">
        <v>0</v>
      </c>
      <c r="F25" s="11">
        <v>0</v>
      </c>
      <c r="G25" s="67"/>
      <c r="H25" s="67"/>
      <c r="I25" s="11"/>
      <c r="J25" s="11"/>
      <c r="K25" s="67"/>
      <c r="L25" s="67"/>
      <c r="M25" s="11"/>
      <c r="N25" s="11"/>
      <c r="O25" s="67"/>
      <c r="P25" s="67"/>
      <c r="Q25" s="11">
        <v>0</v>
      </c>
      <c r="R25" s="11">
        <v>0</v>
      </c>
      <c r="S25" s="62">
        <f t="shared" si="0"/>
        <v>0</v>
      </c>
      <c r="T25" s="65">
        <f t="shared" si="0"/>
        <v>0</v>
      </c>
      <c r="U25" s="67">
        <f t="shared" si="1"/>
        <v>0</v>
      </c>
      <c r="V25" s="11">
        <f t="shared" si="2"/>
        <v>0</v>
      </c>
    </row>
    <row r="26" spans="1:24" x14ac:dyDescent="0.3">
      <c r="A26" s="68" t="s">
        <v>119</v>
      </c>
      <c r="B26" s="68" t="s">
        <v>110</v>
      </c>
      <c r="C26" s="67"/>
      <c r="D26" s="67"/>
      <c r="E26" s="11"/>
      <c r="F26" s="11"/>
      <c r="G26" s="67"/>
      <c r="H26" s="67"/>
      <c r="I26" s="11"/>
      <c r="J26" s="11"/>
      <c r="K26" s="67">
        <v>0</v>
      </c>
      <c r="L26" s="67">
        <v>0</v>
      </c>
      <c r="M26" s="11">
        <v>0</v>
      </c>
      <c r="N26" s="11">
        <v>0</v>
      </c>
      <c r="O26" s="67"/>
      <c r="P26" s="67"/>
      <c r="Q26" s="11"/>
      <c r="R26" s="11"/>
      <c r="S26" s="62">
        <f t="shared" si="0"/>
        <v>0</v>
      </c>
      <c r="T26" s="65">
        <f t="shared" si="0"/>
        <v>0</v>
      </c>
      <c r="U26" s="67">
        <f t="shared" si="1"/>
        <v>0</v>
      </c>
      <c r="V26" s="11">
        <f t="shared" si="2"/>
        <v>0</v>
      </c>
      <c r="X26" s="8" t="s">
        <v>233</v>
      </c>
    </row>
    <row r="27" spans="1:24" x14ac:dyDescent="0.3">
      <c r="A27" s="68" t="s">
        <v>130</v>
      </c>
      <c r="B27" s="68" t="s">
        <v>139</v>
      </c>
      <c r="C27" s="67">
        <v>0</v>
      </c>
      <c r="D27" s="67">
        <v>0</v>
      </c>
      <c r="E27" s="11"/>
      <c r="F27" s="11"/>
      <c r="G27" s="67"/>
      <c r="H27" s="67"/>
      <c r="I27" s="11"/>
      <c r="J27" s="11"/>
      <c r="K27" s="67"/>
      <c r="L27" s="67"/>
      <c r="M27" s="11"/>
      <c r="N27" s="11"/>
      <c r="O27" s="67"/>
      <c r="P27" s="67"/>
      <c r="Q27" s="11"/>
      <c r="R27" s="11"/>
      <c r="S27" s="62">
        <f t="shared" si="0"/>
        <v>0</v>
      </c>
      <c r="T27" s="65">
        <f t="shared" si="0"/>
        <v>0</v>
      </c>
      <c r="U27" s="67">
        <f t="shared" si="1"/>
        <v>0</v>
      </c>
      <c r="V27" s="11">
        <f t="shared" si="2"/>
        <v>0</v>
      </c>
    </row>
    <row r="28" spans="1:24" x14ac:dyDescent="0.3">
      <c r="A28" s="68" t="s">
        <v>54</v>
      </c>
      <c r="B28" s="68" t="s">
        <v>53</v>
      </c>
      <c r="C28" s="67"/>
      <c r="D28" s="67"/>
      <c r="E28" s="11">
        <v>0</v>
      </c>
      <c r="F28" s="11">
        <v>0</v>
      </c>
      <c r="G28" s="67"/>
      <c r="H28" s="67"/>
      <c r="I28" s="11">
        <v>0</v>
      </c>
      <c r="J28" s="11">
        <v>0</v>
      </c>
      <c r="K28" s="67"/>
      <c r="L28" s="67"/>
      <c r="M28" s="11">
        <v>0</v>
      </c>
      <c r="N28" s="11">
        <v>0</v>
      </c>
      <c r="O28" s="67"/>
      <c r="P28" s="67"/>
      <c r="Q28" s="11"/>
      <c r="R28" s="11"/>
      <c r="S28" s="62">
        <f t="shared" si="0"/>
        <v>0</v>
      </c>
      <c r="T28" s="65">
        <f t="shared" si="0"/>
        <v>0</v>
      </c>
      <c r="U28" s="67">
        <f t="shared" si="1"/>
        <v>0</v>
      </c>
      <c r="V28" s="11">
        <f t="shared" si="2"/>
        <v>0</v>
      </c>
    </row>
    <row r="29" spans="1:24" x14ac:dyDescent="0.3">
      <c r="A29" s="68" t="s">
        <v>45</v>
      </c>
      <c r="B29" s="68" t="s">
        <v>46</v>
      </c>
      <c r="C29" s="67">
        <v>0</v>
      </c>
      <c r="D29" s="67">
        <v>0</v>
      </c>
      <c r="E29" s="11"/>
      <c r="F29" s="11"/>
      <c r="G29" s="67"/>
      <c r="H29" s="67"/>
      <c r="I29" s="11"/>
      <c r="J29" s="11"/>
      <c r="K29" s="67"/>
      <c r="L29" s="67"/>
      <c r="M29" s="11"/>
      <c r="N29" s="11"/>
      <c r="O29" s="67"/>
      <c r="P29" s="67"/>
      <c r="Q29" s="11">
        <v>0</v>
      </c>
      <c r="R29" s="11">
        <v>0</v>
      </c>
      <c r="S29" s="62">
        <f t="shared" si="0"/>
        <v>0</v>
      </c>
      <c r="T29" s="65">
        <f t="shared" si="0"/>
        <v>0</v>
      </c>
      <c r="U29" s="67">
        <f t="shared" si="1"/>
        <v>0</v>
      </c>
      <c r="V29" s="11">
        <f t="shared" si="2"/>
        <v>0</v>
      </c>
    </row>
    <row r="30" spans="1:24" x14ac:dyDescent="0.3">
      <c r="A30" s="68" t="s">
        <v>47</v>
      </c>
      <c r="B30" s="68" t="s">
        <v>48</v>
      </c>
      <c r="C30" s="67"/>
      <c r="D30" s="67"/>
      <c r="E30" s="11"/>
      <c r="F30" s="11"/>
      <c r="G30" s="67">
        <v>0</v>
      </c>
      <c r="H30" s="67">
        <v>0</v>
      </c>
      <c r="I30" s="11"/>
      <c r="J30" s="11"/>
      <c r="K30" s="67"/>
      <c r="L30" s="67"/>
      <c r="M30" s="11"/>
      <c r="N30" s="11"/>
      <c r="O30" s="67"/>
      <c r="P30" s="67"/>
      <c r="Q30" s="11"/>
      <c r="R30" s="11"/>
      <c r="S30" s="62">
        <f t="shared" si="0"/>
        <v>0</v>
      </c>
      <c r="T30" s="65">
        <f t="shared" si="0"/>
        <v>0</v>
      </c>
      <c r="U30" s="67">
        <f t="shared" si="1"/>
        <v>0</v>
      </c>
      <c r="V30" s="11">
        <f t="shared" si="2"/>
        <v>0</v>
      </c>
    </row>
    <row r="31" spans="1:24" x14ac:dyDescent="0.3">
      <c r="A31" s="68" t="s">
        <v>63</v>
      </c>
      <c r="B31" s="68" t="s">
        <v>64</v>
      </c>
      <c r="C31" s="67">
        <v>0</v>
      </c>
      <c r="D31" s="67">
        <v>0</v>
      </c>
      <c r="E31" s="11"/>
      <c r="F31" s="11"/>
      <c r="G31" s="67">
        <v>0</v>
      </c>
      <c r="H31" s="67">
        <v>0</v>
      </c>
      <c r="I31" s="11"/>
      <c r="J31" s="11"/>
      <c r="K31" s="67"/>
      <c r="L31" s="67"/>
      <c r="M31" s="11"/>
      <c r="N31" s="11"/>
      <c r="O31" s="67">
        <v>0</v>
      </c>
      <c r="P31" s="67">
        <v>0</v>
      </c>
      <c r="Q31" s="11">
        <v>0</v>
      </c>
      <c r="R31" s="11">
        <v>0</v>
      </c>
      <c r="S31" s="62">
        <f t="shared" si="0"/>
        <v>0</v>
      </c>
      <c r="T31" s="65">
        <f t="shared" si="0"/>
        <v>0</v>
      </c>
      <c r="U31" s="67">
        <f t="shared" si="1"/>
        <v>0</v>
      </c>
      <c r="V31" s="11">
        <f t="shared" si="2"/>
        <v>0</v>
      </c>
    </row>
    <row r="32" spans="1:24" x14ac:dyDescent="0.3">
      <c r="A32" s="68" t="s">
        <v>38</v>
      </c>
      <c r="B32" s="68" t="s">
        <v>67</v>
      </c>
      <c r="C32" s="67"/>
      <c r="D32" s="67"/>
      <c r="E32" s="11">
        <v>0</v>
      </c>
      <c r="F32" s="11">
        <v>0</v>
      </c>
      <c r="G32" s="67"/>
      <c r="H32" s="67"/>
      <c r="I32" s="11"/>
      <c r="J32" s="11"/>
      <c r="K32" s="67"/>
      <c r="L32" s="67"/>
      <c r="M32" s="11"/>
      <c r="N32" s="11"/>
      <c r="O32" s="67"/>
      <c r="P32" s="67"/>
      <c r="Q32" s="11"/>
      <c r="R32" s="11"/>
      <c r="S32" s="62">
        <f t="shared" si="0"/>
        <v>0</v>
      </c>
      <c r="T32" s="65">
        <f t="shared" si="0"/>
        <v>0</v>
      </c>
      <c r="U32" s="67">
        <f t="shared" si="1"/>
        <v>0</v>
      </c>
      <c r="V32" s="11">
        <f>ROUNDUP(T32/20,0)</f>
        <v>0</v>
      </c>
    </row>
    <row r="33" spans="1:22" x14ac:dyDescent="0.3">
      <c r="A33" s="238" t="s">
        <v>85</v>
      </c>
      <c r="B33" s="239"/>
      <c r="C33" s="67">
        <f t="shared" ref="C33:R33" si="3">SUM(C8:C32)</f>
        <v>23</v>
      </c>
      <c r="D33" s="67">
        <f t="shared" si="3"/>
        <v>43</v>
      </c>
      <c r="E33" s="11">
        <f t="shared" si="3"/>
        <v>0</v>
      </c>
      <c r="F33" s="11">
        <f t="shared" si="3"/>
        <v>0</v>
      </c>
      <c r="G33" s="67">
        <f t="shared" si="3"/>
        <v>0</v>
      </c>
      <c r="H33" s="67">
        <f t="shared" si="3"/>
        <v>0</v>
      </c>
      <c r="I33" s="11">
        <f t="shared" si="3"/>
        <v>0</v>
      </c>
      <c r="J33" s="11">
        <f t="shared" si="3"/>
        <v>0</v>
      </c>
      <c r="K33" s="67">
        <f t="shared" si="3"/>
        <v>112</v>
      </c>
      <c r="L33" s="67">
        <f t="shared" si="3"/>
        <v>0</v>
      </c>
      <c r="M33" s="11">
        <f t="shared" si="3"/>
        <v>0</v>
      </c>
      <c r="N33" s="11">
        <f t="shared" si="3"/>
        <v>0</v>
      </c>
      <c r="O33" s="67">
        <f t="shared" si="3"/>
        <v>0</v>
      </c>
      <c r="P33" s="67">
        <f t="shared" si="3"/>
        <v>0</v>
      </c>
      <c r="Q33" s="11">
        <f t="shared" si="3"/>
        <v>0</v>
      </c>
      <c r="R33" s="11">
        <f t="shared" si="3"/>
        <v>0</v>
      </c>
      <c r="S33" s="62"/>
      <c r="T33" s="65"/>
      <c r="U33" s="67"/>
      <c r="V33" s="11"/>
    </row>
    <row r="34" spans="1:22" s="9" customFormat="1" ht="10.5" x14ac:dyDescent="0.25"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>
        <f>SUM(S8:S32)</f>
        <v>135</v>
      </c>
      <c r="T34" s="22">
        <f>SUM(T8:T32)</f>
        <v>43</v>
      </c>
      <c r="U34" s="22">
        <f>SUM(U8:U32)</f>
        <v>7</v>
      </c>
      <c r="V34" s="22">
        <f>SUM(V8:V32)</f>
        <v>3</v>
      </c>
    </row>
    <row r="35" spans="1:22" x14ac:dyDescent="0.3">
      <c r="C35" s="69"/>
    </row>
  </sheetData>
  <mergeCells count="17">
    <mergeCell ref="V4:V6"/>
    <mergeCell ref="A5:B5"/>
    <mergeCell ref="A6:B6"/>
    <mergeCell ref="A7:B7"/>
    <mergeCell ref="T4:T6"/>
    <mergeCell ref="U4:U6"/>
    <mergeCell ref="A33:B33"/>
    <mergeCell ref="M4:N4"/>
    <mergeCell ref="O4:P4"/>
    <mergeCell ref="Q4:R4"/>
    <mergeCell ref="S4:S6"/>
    <mergeCell ref="A4:B4"/>
    <mergeCell ref="C4:D4"/>
    <mergeCell ref="E4:F4"/>
    <mergeCell ref="G4:H4"/>
    <mergeCell ref="I4:J4"/>
    <mergeCell ref="K4:L4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ITElectives">
                <anchor moveWithCells="1" sizeWithCells="1">
                  <from>
                    <xdr:col>23</xdr:col>
                    <xdr:colOff>165100</xdr:colOff>
                    <xdr:row>9</xdr:row>
                    <xdr:rowOff>38100</xdr:rowOff>
                  </from>
                  <to>
                    <xdr:col>25</xdr:col>
                    <xdr:colOff>63500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Z37"/>
  <sheetViews>
    <sheetView topLeftCell="A4" zoomScale="73" zoomScaleNormal="73" zoomScalePageLayoutView="73" workbookViewId="0">
      <selection activeCell="AB12" sqref="AB12"/>
    </sheetView>
  </sheetViews>
  <sheetFormatPr defaultColWidth="9.1796875" defaultRowHeight="13" x14ac:dyDescent="0.3"/>
  <cols>
    <col min="1" max="2" width="9.1796875" style="9"/>
    <col min="3" max="20" width="4.6328125" style="21" customWidth="1"/>
    <col min="21" max="22" width="6.6328125" style="21" customWidth="1"/>
    <col min="23" max="24" width="7.1796875" style="21" customWidth="1"/>
    <col min="25" max="25" width="9.1796875" style="9"/>
    <col min="26" max="16384" width="9.1796875" style="8"/>
  </cols>
  <sheetData>
    <row r="1" spans="1:26" ht="18.5" x14ac:dyDescent="0.45">
      <c r="A1" s="6" t="s">
        <v>262</v>
      </c>
    </row>
    <row r="2" spans="1:26" x14ac:dyDescent="0.3">
      <c r="A2" s="9">
        <v>1</v>
      </c>
      <c r="B2" s="9">
        <v>2</v>
      </c>
      <c r="C2" s="21">
        <v>3</v>
      </c>
      <c r="D2" s="21">
        <v>4</v>
      </c>
      <c r="E2" s="21">
        <v>5</v>
      </c>
      <c r="F2" s="21">
        <v>6</v>
      </c>
      <c r="G2" s="21">
        <v>7</v>
      </c>
      <c r="H2" s="21">
        <v>8</v>
      </c>
      <c r="I2" s="21">
        <v>9</v>
      </c>
      <c r="J2" s="21">
        <v>10</v>
      </c>
      <c r="K2" s="21">
        <v>11</v>
      </c>
      <c r="L2" s="21">
        <v>12</v>
      </c>
      <c r="M2" s="21">
        <v>13</v>
      </c>
      <c r="N2" s="21">
        <v>14</v>
      </c>
      <c r="O2" s="21">
        <v>15</v>
      </c>
      <c r="P2" s="21">
        <v>16</v>
      </c>
      <c r="Q2" s="21">
        <v>17</v>
      </c>
      <c r="R2" s="21">
        <v>18</v>
      </c>
      <c r="S2" s="21">
        <v>19</v>
      </c>
      <c r="T2" s="21">
        <v>20</v>
      </c>
    </row>
    <row r="3" spans="1:26" x14ac:dyDescent="0.3">
      <c r="E3" s="22"/>
    </row>
    <row r="4" spans="1:26" s="9" customFormat="1" ht="12.75" customHeight="1" x14ac:dyDescent="0.3">
      <c r="A4" s="247" t="s">
        <v>4</v>
      </c>
      <c r="B4" s="248"/>
      <c r="C4" s="242" t="s">
        <v>250</v>
      </c>
      <c r="D4" s="243"/>
      <c r="E4" s="240" t="s">
        <v>252</v>
      </c>
      <c r="F4" s="241"/>
      <c r="G4" s="242" t="s">
        <v>258</v>
      </c>
      <c r="H4" s="243"/>
      <c r="I4" s="242" t="s">
        <v>251</v>
      </c>
      <c r="J4" s="243"/>
      <c r="K4" s="240" t="s">
        <v>253</v>
      </c>
      <c r="L4" s="241"/>
      <c r="M4" s="242" t="s">
        <v>254</v>
      </c>
      <c r="N4" s="243"/>
      <c r="O4" s="240" t="s">
        <v>255</v>
      </c>
      <c r="P4" s="241"/>
      <c r="Q4" s="242" t="s">
        <v>256</v>
      </c>
      <c r="R4" s="243"/>
      <c r="S4" s="240" t="s">
        <v>257</v>
      </c>
      <c r="T4" s="241"/>
      <c r="U4" s="244" t="s">
        <v>1</v>
      </c>
      <c r="V4" s="249" t="s">
        <v>1</v>
      </c>
      <c r="W4" s="244" t="s">
        <v>81</v>
      </c>
      <c r="X4" s="249" t="s">
        <v>81</v>
      </c>
    </row>
    <row r="5" spans="1:26" s="9" customFormat="1" x14ac:dyDescent="0.3">
      <c r="A5" s="247" t="s">
        <v>82</v>
      </c>
      <c r="B5" s="248"/>
      <c r="C5" s="62">
        <f>Details!$U$5</f>
        <v>0</v>
      </c>
      <c r="D5" s="63">
        <f>Details!$V$5</f>
        <v>0</v>
      </c>
      <c r="E5" s="64">
        <v>0</v>
      </c>
      <c r="F5" s="65">
        <f>Details!$AF$4+Details!$AG$4</f>
        <v>0</v>
      </c>
      <c r="G5" s="62">
        <f>Details!$AF$5</f>
        <v>0</v>
      </c>
      <c r="H5" s="63">
        <f>Details!$AG$5</f>
        <v>0</v>
      </c>
      <c r="I5" s="62">
        <f>Details!$AF$5</f>
        <v>0</v>
      </c>
      <c r="J5" s="63">
        <f>Details!$AG$5</f>
        <v>0</v>
      </c>
      <c r="K5" s="64">
        <v>0</v>
      </c>
      <c r="L5" s="65">
        <f>Details!$M$4</f>
        <v>0</v>
      </c>
      <c r="M5" s="63">
        <f>Details!K4</f>
        <v>0</v>
      </c>
      <c r="N5" s="63">
        <v>0</v>
      </c>
      <c r="O5" s="64">
        <f>Details!L4</f>
        <v>0</v>
      </c>
      <c r="P5" s="64">
        <v>0</v>
      </c>
      <c r="Q5" s="63">
        <f>Details!$M$5</f>
        <v>0</v>
      </c>
      <c r="R5" s="63">
        <f>Details!$N$5</f>
        <v>0</v>
      </c>
      <c r="S5" s="64">
        <f>Details!$K$5</f>
        <v>0</v>
      </c>
      <c r="T5" s="64">
        <f>Details!$L$5</f>
        <v>0</v>
      </c>
      <c r="U5" s="245"/>
      <c r="V5" s="250"/>
      <c r="W5" s="245"/>
      <c r="X5" s="250"/>
      <c r="Z5" s="8"/>
    </row>
    <row r="6" spans="1:26" s="9" customFormat="1" ht="10.5" x14ac:dyDescent="0.25">
      <c r="A6" s="247" t="s">
        <v>83</v>
      </c>
      <c r="B6" s="248"/>
      <c r="C6" s="66">
        <f>10+4</f>
        <v>14</v>
      </c>
      <c r="D6" s="66">
        <v>4</v>
      </c>
      <c r="F6" s="26"/>
      <c r="G6" s="66"/>
      <c r="H6" s="66"/>
      <c r="I6" s="66"/>
      <c r="J6" s="66"/>
      <c r="K6" s="26"/>
      <c r="L6" s="26"/>
      <c r="M6" s="66"/>
      <c r="N6" s="66"/>
      <c r="O6" s="26"/>
      <c r="P6" s="26"/>
      <c r="Q6" s="66"/>
      <c r="R6" s="66"/>
      <c r="S6" s="26"/>
      <c r="T6" s="26"/>
      <c r="U6" s="246"/>
      <c r="V6" s="251"/>
      <c r="W6" s="246"/>
      <c r="X6" s="251"/>
    </row>
    <row r="7" spans="1:26" s="9" customFormat="1" ht="10.5" x14ac:dyDescent="0.25">
      <c r="A7" s="247" t="s">
        <v>84</v>
      </c>
      <c r="B7" s="248"/>
      <c r="C7" s="66" t="s">
        <v>51</v>
      </c>
      <c r="D7" s="66" t="s">
        <v>50</v>
      </c>
      <c r="E7" s="26" t="s">
        <v>51</v>
      </c>
      <c r="F7" s="26" t="s">
        <v>50</v>
      </c>
      <c r="G7" s="66" t="s">
        <v>51</v>
      </c>
      <c r="H7" s="66" t="s">
        <v>50</v>
      </c>
      <c r="I7" s="66" t="s">
        <v>51</v>
      </c>
      <c r="J7" s="66" t="s">
        <v>50</v>
      </c>
      <c r="K7" s="26" t="s">
        <v>51</v>
      </c>
      <c r="L7" s="26" t="s">
        <v>50</v>
      </c>
      <c r="M7" s="66" t="s">
        <v>51</v>
      </c>
      <c r="N7" s="66" t="s">
        <v>50</v>
      </c>
      <c r="O7" s="65" t="s">
        <v>51</v>
      </c>
      <c r="P7" s="65" t="s">
        <v>50</v>
      </c>
      <c r="Q7" s="62" t="s">
        <v>51</v>
      </c>
      <c r="R7" s="62" t="s">
        <v>50</v>
      </c>
      <c r="S7" s="65" t="s">
        <v>51</v>
      </c>
      <c r="T7" s="65" t="s">
        <v>50</v>
      </c>
      <c r="U7" s="62" t="s">
        <v>51</v>
      </c>
      <c r="V7" s="65" t="s">
        <v>50</v>
      </c>
      <c r="W7" s="62" t="s">
        <v>51</v>
      </c>
      <c r="X7" s="65" t="s">
        <v>50</v>
      </c>
    </row>
    <row r="8" spans="1:26" s="9" customFormat="1" ht="10.5" x14ac:dyDescent="0.25">
      <c r="A8" s="135" t="s">
        <v>131</v>
      </c>
      <c r="B8" s="135" t="s">
        <v>115</v>
      </c>
      <c r="C8" s="67">
        <v>23</v>
      </c>
      <c r="D8" s="67">
        <v>24</v>
      </c>
      <c r="E8" s="26"/>
      <c r="F8" s="26"/>
      <c r="G8" s="66"/>
      <c r="H8" s="66"/>
      <c r="I8" s="66"/>
      <c r="J8" s="66"/>
      <c r="K8" s="26"/>
      <c r="L8" s="26"/>
      <c r="M8" s="66"/>
      <c r="N8" s="66"/>
      <c r="O8" s="65"/>
      <c r="P8" s="65"/>
      <c r="Q8" s="62"/>
      <c r="R8" s="62"/>
      <c r="S8" s="65"/>
      <c r="T8" s="65"/>
      <c r="U8" s="62">
        <f t="shared" ref="U8:U17" si="0">C8+E8+I8+K8+M8+O8+Q8+S8+G8</f>
        <v>23</v>
      </c>
      <c r="V8" s="62">
        <f t="shared" ref="V8:V17" si="1">D8+F8+J8+L8+N8+P8+R8+T8+H8</f>
        <v>24</v>
      </c>
      <c r="W8" s="67">
        <f t="shared" ref="W8:X34" si="2">ROUND(U8/20,0)</f>
        <v>1</v>
      </c>
      <c r="X8" s="11">
        <f t="shared" si="2"/>
        <v>1</v>
      </c>
    </row>
    <row r="9" spans="1:26" x14ac:dyDescent="0.3">
      <c r="A9" s="68" t="s">
        <v>245</v>
      </c>
      <c r="B9" s="68" t="s">
        <v>242</v>
      </c>
      <c r="C9" s="137">
        <v>0</v>
      </c>
      <c r="D9" s="137">
        <v>0</v>
      </c>
      <c r="E9" s="11"/>
      <c r="F9" s="11"/>
      <c r="G9" s="67"/>
      <c r="H9" s="67"/>
      <c r="I9" s="67"/>
      <c r="J9" s="67"/>
      <c r="K9" s="11"/>
      <c r="L9" s="11"/>
      <c r="M9" s="67"/>
      <c r="N9" s="67"/>
      <c r="O9" s="11"/>
      <c r="P9" s="11"/>
      <c r="Q9" s="67"/>
      <c r="R9" s="67"/>
      <c r="S9" s="11"/>
      <c r="T9" s="11"/>
      <c r="U9" s="62">
        <f t="shared" si="0"/>
        <v>0</v>
      </c>
      <c r="V9" s="62">
        <f t="shared" si="1"/>
        <v>0</v>
      </c>
      <c r="W9" s="67">
        <f t="shared" si="2"/>
        <v>0</v>
      </c>
      <c r="X9" s="11">
        <f t="shared" si="2"/>
        <v>0</v>
      </c>
    </row>
    <row r="10" spans="1:26" x14ac:dyDescent="0.3">
      <c r="A10" s="68" t="s">
        <v>129</v>
      </c>
      <c r="B10" s="68" t="s">
        <v>114</v>
      </c>
      <c r="C10" s="67">
        <v>13</v>
      </c>
      <c r="D10" s="67">
        <v>15</v>
      </c>
      <c r="E10" s="11"/>
      <c r="F10" s="11"/>
      <c r="G10" s="67">
        <v>6</v>
      </c>
      <c r="H10" s="67">
        <v>7</v>
      </c>
      <c r="I10" s="67"/>
      <c r="J10" s="67"/>
      <c r="K10" s="11"/>
      <c r="L10" s="11"/>
      <c r="M10" s="67"/>
      <c r="N10" s="67"/>
      <c r="O10" s="11"/>
      <c r="P10" s="11"/>
      <c r="Q10" s="67"/>
      <c r="R10" s="67"/>
      <c r="S10" s="11"/>
      <c r="T10" s="11"/>
      <c r="U10" s="62">
        <f t="shared" si="0"/>
        <v>19</v>
      </c>
      <c r="V10" s="62">
        <f t="shared" si="1"/>
        <v>22</v>
      </c>
      <c r="W10" s="67">
        <f t="shared" si="2"/>
        <v>1</v>
      </c>
      <c r="X10" s="11">
        <f t="shared" si="2"/>
        <v>1</v>
      </c>
    </row>
    <row r="11" spans="1:26" x14ac:dyDescent="0.3">
      <c r="A11" s="68" t="s">
        <v>54</v>
      </c>
      <c r="B11" s="68" t="s">
        <v>53</v>
      </c>
      <c r="C11" s="67">
        <v>0</v>
      </c>
      <c r="D11" s="137">
        <v>0</v>
      </c>
      <c r="E11" s="11"/>
      <c r="F11" s="11"/>
      <c r="G11" s="67"/>
      <c r="H11" s="67"/>
      <c r="I11" s="67"/>
      <c r="J11" s="67"/>
      <c r="K11" s="11"/>
      <c r="L11" s="11"/>
      <c r="M11" s="67"/>
      <c r="N11" s="67"/>
      <c r="O11" s="11"/>
      <c r="P11" s="11"/>
      <c r="Q11" s="67"/>
      <c r="R11" s="67"/>
      <c r="S11" s="11"/>
      <c r="T11" s="11"/>
      <c r="U11" s="62">
        <f t="shared" si="0"/>
        <v>0</v>
      </c>
      <c r="V11" s="62">
        <f t="shared" si="1"/>
        <v>0</v>
      </c>
      <c r="W11" s="67">
        <f t="shared" si="2"/>
        <v>0</v>
      </c>
      <c r="X11" s="11">
        <f t="shared" si="2"/>
        <v>0</v>
      </c>
    </row>
    <row r="12" spans="1:26" x14ac:dyDescent="0.3">
      <c r="A12" s="68" t="s">
        <v>60</v>
      </c>
      <c r="B12" s="68" t="s">
        <v>52</v>
      </c>
      <c r="C12" s="67"/>
      <c r="D12" s="67">
        <v>11</v>
      </c>
      <c r="E12" s="11"/>
      <c r="F12" s="11"/>
      <c r="G12" s="67"/>
      <c r="H12" s="67"/>
      <c r="I12" s="67"/>
      <c r="J12" s="67"/>
      <c r="K12" s="11"/>
      <c r="L12" s="11"/>
      <c r="M12" s="67"/>
      <c r="N12" s="67"/>
      <c r="O12" s="11"/>
      <c r="P12" s="11"/>
      <c r="Q12" s="67"/>
      <c r="R12" s="67"/>
      <c r="S12" s="11"/>
      <c r="T12" s="11"/>
      <c r="U12" s="62">
        <f t="shared" si="0"/>
        <v>0</v>
      </c>
      <c r="V12" s="62">
        <f t="shared" si="1"/>
        <v>11</v>
      </c>
      <c r="W12" s="67">
        <f t="shared" si="2"/>
        <v>0</v>
      </c>
      <c r="X12" s="11">
        <f t="shared" si="2"/>
        <v>1</v>
      </c>
    </row>
    <row r="13" spans="1:26" x14ac:dyDescent="0.3">
      <c r="A13" s="68" t="s">
        <v>246</v>
      </c>
      <c r="B13" s="68" t="s">
        <v>243</v>
      </c>
      <c r="C13" s="67">
        <v>10</v>
      </c>
      <c r="D13" s="67">
        <v>11</v>
      </c>
      <c r="E13" s="11"/>
      <c r="F13" s="11"/>
      <c r="G13" s="67"/>
      <c r="H13" s="67"/>
      <c r="I13" s="67"/>
      <c r="J13" s="67"/>
      <c r="K13" s="11"/>
      <c r="L13" s="11"/>
      <c r="M13" s="67"/>
      <c r="N13" s="67"/>
      <c r="O13" s="11"/>
      <c r="P13" s="11"/>
      <c r="Q13" s="67"/>
      <c r="R13" s="67"/>
      <c r="S13" s="11"/>
      <c r="T13" s="11"/>
      <c r="U13" s="62">
        <f t="shared" si="0"/>
        <v>10</v>
      </c>
      <c r="V13" s="62">
        <f t="shared" si="1"/>
        <v>11</v>
      </c>
      <c r="W13" s="67">
        <f t="shared" si="2"/>
        <v>1</v>
      </c>
      <c r="X13" s="11">
        <f t="shared" si="2"/>
        <v>1</v>
      </c>
    </row>
    <row r="14" spans="1:26" x14ac:dyDescent="0.3">
      <c r="A14" s="68" t="s">
        <v>105</v>
      </c>
      <c r="B14" s="68" t="s">
        <v>138</v>
      </c>
      <c r="C14" s="67"/>
      <c r="D14" s="67"/>
      <c r="E14" s="11">
        <v>0</v>
      </c>
      <c r="F14" s="11">
        <v>11</v>
      </c>
      <c r="G14" s="67"/>
      <c r="H14" s="67"/>
      <c r="I14" s="67"/>
      <c r="J14" s="67"/>
      <c r="K14" s="11"/>
      <c r="L14" s="11"/>
      <c r="M14" s="67"/>
      <c r="N14" s="67"/>
      <c r="O14" s="11"/>
      <c r="P14" s="11"/>
      <c r="Q14" s="67"/>
      <c r="R14" s="67"/>
      <c r="S14" s="11">
        <v>23</v>
      </c>
      <c r="T14" s="11">
        <v>17</v>
      </c>
      <c r="U14" s="62">
        <f t="shared" si="0"/>
        <v>23</v>
      </c>
      <c r="V14" s="62">
        <f t="shared" si="1"/>
        <v>28</v>
      </c>
      <c r="W14" s="67">
        <f t="shared" si="2"/>
        <v>1</v>
      </c>
      <c r="X14" s="11">
        <f t="shared" si="2"/>
        <v>1</v>
      </c>
    </row>
    <row r="15" spans="1:26" x14ac:dyDescent="0.3">
      <c r="A15" s="68" t="s">
        <v>102</v>
      </c>
      <c r="B15" s="68" t="s">
        <v>103</v>
      </c>
      <c r="C15" s="67"/>
      <c r="D15" s="67"/>
      <c r="E15" s="11">
        <v>0</v>
      </c>
      <c r="F15" s="11">
        <v>3</v>
      </c>
      <c r="G15" s="67"/>
      <c r="H15" s="67"/>
      <c r="I15" s="67"/>
      <c r="J15" s="67"/>
      <c r="K15" s="11"/>
      <c r="L15" s="11"/>
      <c r="M15" s="67"/>
      <c r="N15" s="67"/>
      <c r="O15" s="11"/>
      <c r="P15" s="11"/>
      <c r="Q15" s="67"/>
      <c r="R15" s="67"/>
      <c r="S15" s="11"/>
      <c r="T15" s="11"/>
      <c r="U15" s="62">
        <f t="shared" si="0"/>
        <v>0</v>
      </c>
      <c r="V15" s="62">
        <f t="shared" si="1"/>
        <v>3</v>
      </c>
      <c r="W15" s="67">
        <f t="shared" si="2"/>
        <v>0</v>
      </c>
      <c r="X15" s="11">
        <f t="shared" si="2"/>
        <v>0</v>
      </c>
    </row>
    <row r="16" spans="1:26" x14ac:dyDescent="0.3">
      <c r="A16" s="68" t="s">
        <v>38</v>
      </c>
      <c r="B16" s="68" t="s">
        <v>67</v>
      </c>
      <c r="C16" s="67"/>
      <c r="D16" s="67"/>
      <c r="E16" s="11"/>
      <c r="F16" s="11"/>
      <c r="G16" s="67"/>
      <c r="H16" s="67"/>
      <c r="I16" s="67"/>
      <c r="J16" s="67"/>
      <c r="K16" s="11"/>
      <c r="L16" s="11"/>
      <c r="M16" s="67"/>
      <c r="N16" s="67"/>
      <c r="O16" s="11"/>
      <c r="P16" s="11"/>
      <c r="Q16" s="67"/>
      <c r="R16" s="67"/>
      <c r="S16" s="11"/>
      <c r="T16" s="11"/>
      <c r="U16" s="62">
        <f t="shared" si="0"/>
        <v>0</v>
      </c>
      <c r="V16" s="62">
        <f t="shared" si="1"/>
        <v>0</v>
      </c>
      <c r="W16" s="67">
        <f t="shared" si="2"/>
        <v>0</v>
      </c>
      <c r="X16" s="11">
        <f t="shared" si="2"/>
        <v>0</v>
      </c>
    </row>
    <row r="17" spans="1:25" x14ac:dyDescent="0.3">
      <c r="A17" s="68" t="s">
        <v>47</v>
      </c>
      <c r="B17" s="68" t="s">
        <v>48</v>
      </c>
      <c r="C17" s="67"/>
      <c r="D17" s="67"/>
      <c r="E17" s="11"/>
      <c r="F17" s="11"/>
      <c r="G17" s="67">
        <v>13</v>
      </c>
      <c r="H17" s="67">
        <v>19</v>
      </c>
      <c r="I17" s="67"/>
      <c r="J17" s="67"/>
      <c r="K17" s="11"/>
      <c r="L17" s="11"/>
      <c r="M17" s="67"/>
      <c r="N17" s="67"/>
      <c r="O17" s="11"/>
      <c r="P17" s="11"/>
      <c r="Q17" s="67"/>
      <c r="R17" s="67"/>
      <c r="S17" s="11"/>
      <c r="T17" s="11"/>
      <c r="U17" s="62">
        <f t="shared" si="0"/>
        <v>13</v>
      </c>
      <c r="V17" s="62">
        <f t="shared" si="1"/>
        <v>19</v>
      </c>
      <c r="W17" s="67">
        <f t="shared" si="2"/>
        <v>1</v>
      </c>
      <c r="X17" s="11">
        <f t="shared" si="2"/>
        <v>1</v>
      </c>
    </row>
    <row r="18" spans="1:25" x14ac:dyDescent="0.3">
      <c r="A18" s="68" t="s">
        <v>55</v>
      </c>
      <c r="B18" s="68" t="s">
        <v>56</v>
      </c>
      <c r="C18" s="67"/>
      <c r="D18" s="67"/>
      <c r="E18" s="11"/>
      <c r="F18" s="11"/>
      <c r="G18" s="67">
        <v>25</v>
      </c>
      <c r="H18" s="67">
        <v>14</v>
      </c>
      <c r="I18" s="67"/>
      <c r="J18" s="67"/>
      <c r="K18" s="11"/>
      <c r="L18" s="11"/>
      <c r="M18" s="67">
        <v>24</v>
      </c>
      <c r="N18" s="67"/>
      <c r="O18" s="11">
        <v>15</v>
      </c>
      <c r="P18" s="11"/>
      <c r="Q18" s="67"/>
      <c r="R18" s="67">
        <v>6</v>
      </c>
      <c r="S18" s="11">
        <v>13</v>
      </c>
      <c r="T18" s="11">
        <v>12</v>
      </c>
      <c r="U18" s="62">
        <f>C18+E18+I18+K18+M18+O18+Q18+S18+G18</f>
        <v>77</v>
      </c>
      <c r="V18" s="62">
        <f>D18+F18+J18+L18+N18+P18+R18+T18+H18</f>
        <v>32</v>
      </c>
      <c r="W18" s="67">
        <f t="shared" si="2"/>
        <v>4</v>
      </c>
      <c r="X18" s="11">
        <f t="shared" si="2"/>
        <v>2</v>
      </c>
    </row>
    <row r="19" spans="1:25" x14ac:dyDescent="0.3">
      <c r="A19" s="68" t="s">
        <v>63</v>
      </c>
      <c r="B19" s="68" t="s">
        <v>64</v>
      </c>
      <c r="C19" s="67"/>
      <c r="D19" s="67"/>
      <c r="E19" s="11"/>
      <c r="F19" s="11"/>
      <c r="G19" s="67">
        <v>0</v>
      </c>
      <c r="H19" s="67">
        <v>0</v>
      </c>
      <c r="I19" s="67"/>
      <c r="J19" s="67"/>
      <c r="K19" s="11"/>
      <c r="L19" s="11"/>
      <c r="M19" s="67"/>
      <c r="N19" s="67"/>
      <c r="O19" s="11"/>
      <c r="P19" s="11"/>
      <c r="Q19" s="67"/>
      <c r="R19" s="67"/>
      <c r="S19" s="11"/>
      <c r="T19" s="11"/>
      <c r="U19" s="62">
        <f t="shared" ref="U19:U34" si="3">C19+E19+I19+K19+M19+O19+Q19+S19+G19</f>
        <v>0</v>
      </c>
      <c r="V19" s="62">
        <f t="shared" ref="V19:V34" si="4">D19+F19+J19+L19+N19+P19+R19+T19+H19</f>
        <v>0</v>
      </c>
      <c r="W19" s="67">
        <f t="shared" si="2"/>
        <v>0</v>
      </c>
      <c r="X19" s="11">
        <f t="shared" si="2"/>
        <v>0</v>
      </c>
    </row>
    <row r="20" spans="1:25" x14ac:dyDescent="0.3">
      <c r="A20" s="136" t="s">
        <v>157</v>
      </c>
      <c r="B20" s="136" t="s">
        <v>62</v>
      </c>
      <c r="C20" s="67"/>
      <c r="D20" s="67"/>
      <c r="E20" s="11"/>
      <c r="F20" s="11"/>
      <c r="G20" s="67"/>
      <c r="H20" s="67"/>
      <c r="I20" s="137">
        <v>16</v>
      </c>
      <c r="J20" s="67">
        <v>0</v>
      </c>
      <c r="K20" s="11"/>
      <c r="L20" s="11"/>
      <c r="M20" s="67"/>
      <c r="N20" s="67"/>
      <c r="O20" s="11"/>
      <c r="P20" s="11"/>
      <c r="Q20" s="67"/>
      <c r="R20" s="67"/>
      <c r="S20" s="11"/>
      <c r="T20" s="11"/>
      <c r="U20" s="62">
        <f t="shared" si="3"/>
        <v>16</v>
      </c>
      <c r="V20" s="62">
        <f t="shared" si="4"/>
        <v>0</v>
      </c>
      <c r="W20" s="125">
        <f t="shared" si="2"/>
        <v>1</v>
      </c>
      <c r="X20" s="11">
        <f t="shared" si="2"/>
        <v>0</v>
      </c>
      <c r="Y20" s="9" t="s">
        <v>248</v>
      </c>
    </row>
    <row r="21" spans="1:25" x14ac:dyDescent="0.3">
      <c r="A21" s="136" t="s">
        <v>158</v>
      </c>
      <c r="B21" s="136" t="s">
        <v>148</v>
      </c>
      <c r="C21" s="67"/>
      <c r="D21" s="67"/>
      <c r="E21" s="11"/>
      <c r="F21" s="11"/>
      <c r="G21" s="67"/>
      <c r="H21" s="67"/>
      <c r="I21" s="137">
        <v>16</v>
      </c>
      <c r="J21" s="67">
        <v>0</v>
      </c>
      <c r="K21" s="11"/>
      <c r="L21" s="11"/>
      <c r="M21" s="67"/>
      <c r="N21" s="67"/>
      <c r="O21" s="11"/>
      <c r="P21" s="11"/>
      <c r="Q21" s="67"/>
      <c r="R21" s="67"/>
      <c r="S21" s="11"/>
      <c r="T21" s="11"/>
      <c r="U21" s="62">
        <f t="shared" si="3"/>
        <v>16</v>
      </c>
      <c r="V21" s="62">
        <f t="shared" si="4"/>
        <v>0</v>
      </c>
      <c r="W21" s="125">
        <f t="shared" si="2"/>
        <v>1</v>
      </c>
      <c r="X21" s="11">
        <f t="shared" si="2"/>
        <v>0</v>
      </c>
    </row>
    <row r="22" spans="1:25" x14ac:dyDescent="0.3">
      <c r="A22" s="136" t="s">
        <v>123</v>
      </c>
      <c r="B22" s="136" t="s">
        <v>122</v>
      </c>
      <c r="C22" s="67"/>
      <c r="D22" s="67"/>
      <c r="E22" s="11"/>
      <c r="F22" s="11"/>
      <c r="G22" s="67"/>
      <c r="H22" s="67"/>
      <c r="I22" s="67">
        <v>24</v>
      </c>
      <c r="J22" s="67">
        <v>44</v>
      </c>
      <c r="K22" s="11"/>
      <c r="L22" s="11"/>
      <c r="M22" s="67"/>
      <c r="N22" s="67"/>
      <c r="O22" s="11"/>
      <c r="P22" s="11"/>
      <c r="Q22" s="67"/>
      <c r="R22" s="67"/>
      <c r="S22" s="11"/>
      <c r="T22" s="11"/>
      <c r="U22" s="62">
        <f t="shared" si="3"/>
        <v>24</v>
      </c>
      <c r="V22" s="62">
        <f t="shared" si="4"/>
        <v>44</v>
      </c>
      <c r="W22" s="67">
        <f t="shared" si="2"/>
        <v>1</v>
      </c>
      <c r="X22" s="11">
        <f t="shared" si="2"/>
        <v>2</v>
      </c>
      <c r="Y22" s="9" t="s">
        <v>249</v>
      </c>
    </row>
    <row r="23" spans="1:25" x14ac:dyDescent="0.3">
      <c r="A23" s="136" t="s">
        <v>159</v>
      </c>
      <c r="B23" s="136" t="s">
        <v>149</v>
      </c>
      <c r="C23" s="67"/>
      <c r="D23" s="67"/>
      <c r="E23" s="11"/>
      <c r="F23" s="11"/>
      <c r="G23" s="67"/>
      <c r="H23" s="67"/>
      <c r="I23" s="67">
        <v>24</v>
      </c>
      <c r="J23" s="67">
        <v>44</v>
      </c>
      <c r="K23" s="11"/>
      <c r="L23" s="11"/>
      <c r="M23" s="67"/>
      <c r="N23" s="67"/>
      <c r="O23" s="11"/>
      <c r="P23" s="11"/>
      <c r="Q23" s="67"/>
      <c r="R23" s="67"/>
      <c r="S23" s="11"/>
      <c r="T23" s="11"/>
      <c r="U23" s="62">
        <f t="shared" si="3"/>
        <v>24</v>
      </c>
      <c r="V23" s="62">
        <f t="shared" si="4"/>
        <v>44</v>
      </c>
      <c r="W23" s="67">
        <f t="shared" si="2"/>
        <v>1</v>
      </c>
      <c r="X23" s="11">
        <f t="shared" si="2"/>
        <v>2</v>
      </c>
    </row>
    <row r="24" spans="1:25" x14ac:dyDescent="0.3">
      <c r="A24" s="68" t="s">
        <v>95</v>
      </c>
      <c r="B24" s="68" t="s">
        <v>117</v>
      </c>
      <c r="C24" s="67"/>
      <c r="D24" s="67"/>
      <c r="E24" s="11"/>
      <c r="F24" s="11"/>
      <c r="G24" s="67"/>
      <c r="H24" s="67"/>
      <c r="I24" s="67"/>
      <c r="J24" s="67"/>
      <c r="K24" s="11"/>
      <c r="L24" s="11"/>
      <c r="M24" s="67"/>
      <c r="N24" s="67"/>
      <c r="O24" s="11"/>
      <c r="P24" s="11"/>
      <c r="Q24" s="67"/>
      <c r="R24" s="67"/>
      <c r="S24" s="11"/>
      <c r="T24" s="11"/>
      <c r="U24" s="62">
        <f t="shared" si="3"/>
        <v>0</v>
      </c>
      <c r="V24" s="62">
        <f t="shared" si="4"/>
        <v>0</v>
      </c>
      <c r="W24" s="67">
        <f t="shared" si="2"/>
        <v>0</v>
      </c>
      <c r="X24" s="11">
        <f t="shared" si="2"/>
        <v>0</v>
      </c>
    </row>
    <row r="25" spans="1:25" x14ac:dyDescent="0.3">
      <c r="A25" s="68" t="s">
        <v>119</v>
      </c>
      <c r="B25" s="68" t="s">
        <v>110</v>
      </c>
      <c r="C25" s="67"/>
      <c r="D25" s="67"/>
      <c r="E25" s="11"/>
      <c r="F25" s="11"/>
      <c r="G25" s="67"/>
      <c r="H25" s="67"/>
      <c r="I25" s="67"/>
      <c r="J25" s="67"/>
      <c r="K25" s="11"/>
      <c r="L25" s="11"/>
      <c r="M25" s="67"/>
      <c r="N25" s="67"/>
      <c r="O25" s="11"/>
      <c r="P25" s="11"/>
      <c r="Q25" s="67"/>
      <c r="R25" s="67"/>
      <c r="S25" s="11"/>
      <c r="T25" s="11"/>
      <c r="U25" s="62">
        <f t="shared" si="3"/>
        <v>0</v>
      </c>
      <c r="V25" s="62">
        <f t="shared" si="4"/>
        <v>0</v>
      </c>
      <c r="W25" s="67">
        <f t="shared" si="2"/>
        <v>0</v>
      </c>
      <c r="X25" s="11">
        <f t="shared" si="2"/>
        <v>0</v>
      </c>
    </row>
    <row r="26" spans="1:25" x14ac:dyDescent="0.3">
      <c r="A26" s="68" t="s">
        <v>247</v>
      </c>
      <c r="B26" s="68" t="s">
        <v>244</v>
      </c>
      <c r="C26" s="67"/>
      <c r="D26" s="67"/>
      <c r="E26" s="11"/>
      <c r="F26" s="11"/>
      <c r="G26" s="67"/>
      <c r="H26" s="67"/>
      <c r="I26" s="67"/>
      <c r="J26" s="67"/>
      <c r="K26" s="11"/>
      <c r="L26" s="11"/>
      <c r="M26" s="67"/>
      <c r="N26" s="67"/>
      <c r="O26" s="11"/>
      <c r="P26" s="11"/>
      <c r="Q26" s="67"/>
      <c r="R26" s="67"/>
      <c r="S26" s="11"/>
      <c r="T26" s="11"/>
      <c r="U26" s="62">
        <f t="shared" si="3"/>
        <v>0</v>
      </c>
      <c r="V26" s="62">
        <f t="shared" si="4"/>
        <v>0</v>
      </c>
      <c r="W26" s="67">
        <f t="shared" si="2"/>
        <v>0</v>
      </c>
      <c r="X26" s="11">
        <f t="shared" si="2"/>
        <v>0</v>
      </c>
    </row>
    <row r="27" spans="1:25" x14ac:dyDescent="0.3">
      <c r="A27" s="68" t="s">
        <v>98</v>
      </c>
      <c r="B27" s="68" t="s">
        <v>65</v>
      </c>
      <c r="C27" s="67"/>
      <c r="D27" s="67"/>
      <c r="E27" s="11"/>
      <c r="F27" s="11"/>
      <c r="G27" s="67"/>
      <c r="H27" s="67"/>
      <c r="I27" s="67"/>
      <c r="J27" s="67"/>
      <c r="K27" s="11"/>
      <c r="L27" s="11"/>
      <c r="M27" s="67">
        <v>25</v>
      </c>
      <c r="N27" s="67"/>
      <c r="O27" s="11">
        <v>10</v>
      </c>
      <c r="P27" s="11"/>
      <c r="Q27" s="67"/>
      <c r="R27" s="67"/>
      <c r="S27" s="11"/>
      <c r="T27" s="11"/>
      <c r="U27" s="62">
        <f t="shared" si="3"/>
        <v>35</v>
      </c>
      <c r="V27" s="62">
        <f t="shared" si="4"/>
        <v>0</v>
      </c>
      <c r="W27" s="67">
        <f t="shared" si="2"/>
        <v>2</v>
      </c>
      <c r="X27" s="11">
        <f t="shared" si="2"/>
        <v>0</v>
      </c>
    </row>
    <row r="28" spans="1:25" x14ac:dyDescent="0.3">
      <c r="A28" s="68" t="s">
        <v>118</v>
      </c>
      <c r="B28" s="68" t="s">
        <v>108</v>
      </c>
      <c r="C28" s="67"/>
      <c r="D28" s="67"/>
      <c r="E28" s="11"/>
      <c r="F28" s="11"/>
      <c r="G28" s="67"/>
      <c r="H28" s="67"/>
      <c r="I28" s="67"/>
      <c r="J28" s="67"/>
      <c r="K28" s="11"/>
      <c r="L28" s="11"/>
      <c r="M28" s="67">
        <v>30</v>
      </c>
      <c r="N28" s="67"/>
      <c r="O28" s="11">
        <v>8</v>
      </c>
      <c r="P28" s="11"/>
      <c r="Q28" s="67">
        <v>5</v>
      </c>
      <c r="R28" s="67">
        <v>6</v>
      </c>
      <c r="S28" s="11"/>
      <c r="T28" s="11"/>
      <c r="U28" s="62">
        <f t="shared" si="3"/>
        <v>43</v>
      </c>
      <c r="V28" s="62">
        <f t="shared" si="4"/>
        <v>6</v>
      </c>
      <c r="W28" s="67">
        <f t="shared" si="2"/>
        <v>2</v>
      </c>
      <c r="X28" s="11">
        <f t="shared" si="2"/>
        <v>0</v>
      </c>
    </row>
    <row r="29" spans="1:25" x14ac:dyDescent="0.3">
      <c r="A29" s="68" t="s">
        <v>97</v>
      </c>
      <c r="B29" s="68" t="s">
        <v>109</v>
      </c>
      <c r="C29" s="67"/>
      <c r="D29" s="67"/>
      <c r="E29" s="11"/>
      <c r="F29" s="11"/>
      <c r="G29" s="67"/>
      <c r="H29" s="67"/>
      <c r="I29" s="67"/>
      <c r="J29" s="67"/>
      <c r="K29" s="11"/>
      <c r="L29" s="11"/>
      <c r="M29" s="67"/>
      <c r="N29" s="67"/>
      <c r="O29" s="11"/>
      <c r="P29" s="11"/>
      <c r="Q29" s="67"/>
      <c r="R29" s="67"/>
      <c r="S29" s="11"/>
      <c r="T29" s="11"/>
      <c r="U29" s="62">
        <f t="shared" si="3"/>
        <v>0</v>
      </c>
      <c r="V29" s="62">
        <f t="shared" si="4"/>
        <v>0</v>
      </c>
      <c r="W29" s="67">
        <f t="shared" si="2"/>
        <v>0</v>
      </c>
      <c r="X29" s="11">
        <f t="shared" si="2"/>
        <v>0</v>
      </c>
    </row>
    <row r="30" spans="1:25" x14ac:dyDescent="0.3">
      <c r="A30" s="68" t="s">
        <v>96</v>
      </c>
      <c r="B30" s="68" t="s">
        <v>124</v>
      </c>
      <c r="C30" s="67"/>
      <c r="D30" s="67"/>
      <c r="E30" s="11"/>
      <c r="F30" s="11"/>
      <c r="G30" s="67"/>
      <c r="H30" s="67"/>
      <c r="I30" s="67"/>
      <c r="J30" s="67"/>
      <c r="K30" s="11"/>
      <c r="L30" s="11"/>
      <c r="M30" s="67"/>
      <c r="N30" s="67"/>
      <c r="O30" s="11"/>
      <c r="P30" s="11"/>
      <c r="Q30" s="67"/>
      <c r="R30" s="67"/>
      <c r="S30" s="11"/>
      <c r="T30" s="11"/>
      <c r="U30" s="62">
        <f t="shared" si="3"/>
        <v>0</v>
      </c>
      <c r="V30" s="62">
        <f t="shared" si="4"/>
        <v>0</v>
      </c>
      <c r="W30" s="67">
        <f t="shared" si="2"/>
        <v>0</v>
      </c>
      <c r="X30" s="11">
        <f t="shared" si="2"/>
        <v>0</v>
      </c>
    </row>
    <row r="31" spans="1:25" x14ac:dyDescent="0.3">
      <c r="A31" s="68" t="s">
        <v>45</v>
      </c>
      <c r="B31" s="68" t="s">
        <v>46</v>
      </c>
      <c r="C31" s="67"/>
      <c r="D31" s="67"/>
      <c r="E31" s="11"/>
      <c r="F31" s="11"/>
      <c r="G31" s="67"/>
      <c r="H31" s="67"/>
      <c r="I31" s="67"/>
      <c r="J31" s="67"/>
      <c r="K31" s="11"/>
      <c r="L31" s="11"/>
      <c r="M31" s="67">
        <v>40</v>
      </c>
      <c r="N31" s="67"/>
      <c r="O31" s="11">
        <v>10</v>
      </c>
      <c r="P31" s="11"/>
      <c r="Q31" s="67"/>
      <c r="R31" s="67"/>
      <c r="S31" s="11">
        <v>13</v>
      </c>
      <c r="T31" s="11">
        <v>13</v>
      </c>
      <c r="U31" s="62">
        <f t="shared" si="3"/>
        <v>63</v>
      </c>
      <c r="V31" s="62">
        <f t="shared" si="4"/>
        <v>13</v>
      </c>
      <c r="W31" s="67">
        <f t="shared" si="2"/>
        <v>3</v>
      </c>
      <c r="X31" s="11">
        <f t="shared" si="2"/>
        <v>1</v>
      </c>
    </row>
    <row r="32" spans="1:25" x14ac:dyDescent="0.3">
      <c r="A32" s="68" t="s">
        <v>78</v>
      </c>
      <c r="B32" s="68" t="s">
        <v>79</v>
      </c>
      <c r="C32" s="67"/>
      <c r="D32" s="67"/>
      <c r="E32" s="11"/>
      <c r="F32" s="11"/>
      <c r="G32" s="67"/>
      <c r="H32" s="67"/>
      <c r="I32" s="67"/>
      <c r="J32" s="67"/>
      <c r="K32" s="11"/>
      <c r="L32" s="11"/>
      <c r="M32" s="67"/>
      <c r="N32" s="67"/>
      <c r="O32" s="11"/>
      <c r="P32" s="11"/>
      <c r="Q32" s="67">
        <v>16</v>
      </c>
      <c r="R32" s="67"/>
      <c r="S32" s="11">
        <v>3</v>
      </c>
      <c r="T32" s="11"/>
      <c r="U32" s="62">
        <f t="shared" si="3"/>
        <v>19</v>
      </c>
      <c r="V32" s="62">
        <f t="shared" si="4"/>
        <v>0</v>
      </c>
      <c r="W32" s="67">
        <f t="shared" si="2"/>
        <v>1</v>
      </c>
      <c r="X32" s="11">
        <f t="shared" si="2"/>
        <v>0</v>
      </c>
    </row>
    <row r="33" spans="1:26" x14ac:dyDescent="0.3">
      <c r="A33" s="68" t="s">
        <v>126</v>
      </c>
      <c r="B33" s="68" t="s">
        <v>125</v>
      </c>
      <c r="C33" s="67"/>
      <c r="D33" s="67"/>
      <c r="E33" s="11"/>
      <c r="F33" s="11"/>
      <c r="G33" s="67"/>
      <c r="H33" s="67"/>
      <c r="I33" s="67"/>
      <c r="J33" s="67"/>
      <c r="K33" s="11"/>
      <c r="L33" s="11"/>
      <c r="M33" s="67"/>
      <c r="N33" s="67"/>
      <c r="O33" s="11"/>
      <c r="P33" s="11"/>
      <c r="Q33" s="67"/>
      <c r="R33" s="67"/>
      <c r="S33" s="11"/>
      <c r="T33" s="11"/>
      <c r="U33" s="62">
        <f t="shared" si="3"/>
        <v>0</v>
      </c>
      <c r="V33" s="62">
        <f t="shared" si="4"/>
        <v>0</v>
      </c>
      <c r="W33" s="67">
        <f t="shared" si="2"/>
        <v>0</v>
      </c>
      <c r="X33" s="11">
        <f t="shared" si="2"/>
        <v>0</v>
      </c>
    </row>
    <row r="34" spans="1:26" x14ac:dyDescent="0.3">
      <c r="A34" s="68"/>
      <c r="B34" s="68"/>
      <c r="C34" s="67"/>
      <c r="D34" s="67"/>
      <c r="E34" s="11"/>
      <c r="F34" s="11"/>
      <c r="G34" s="67"/>
      <c r="H34" s="67"/>
      <c r="I34" s="67"/>
      <c r="J34" s="67"/>
      <c r="K34" s="11"/>
      <c r="L34" s="11"/>
      <c r="M34" s="67"/>
      <c r="N34" s="67"/>
      <c r="O34" s="11"/>
      <c r="P34" s="11"/>
      <c r="Q34" s="67"/>
      <c r="R34" s="67"/>
      <c r="S34" s="11"/>
      <c r="T34" s="11"/>
      <c r="U34" s="62">
        <f t="shared" si="3"/>
        <v>0</v>
      </c>
      <c r="V34" s="62">
        <f t="shared" si="4"/>
        <v>0</v>
      </c>
      <c r="W34" s="67">
        <f t="shared" si="2"/>
        <v>0</v>
      </c>
      <c r="X34" s="11">
        <f t="shared" si="2"/>
        <v>0</v>
      </c>
    </row>
    <row r="35" spans="1:26" s="9" customFormat="1" x14ac:dyDescent="0.3">
      <c r="A35" s="238" t="s">
        <v>1</v>
      </c>
      <c r="B35" s="239"/>
      <c r="C35" s="67">
        <f t="shared" ref="C35:T35" si="5">SUM(C8:C32)</f>
        <v>46</v>
      </c>
      <c r="D35" s="67">
        <f t="shared" si="5"/>
        <v>61</v>
      </c>
      <c r="E35" s="11">
        <f t="shared" si="5"/>
        <v>0</v>
      </c>
      <c r="F35" s="11">
        <f t="shared" si="5"/>
        <v>14</v>
      </c>
      <c r="G35" s="67">
        <f>SUM(G8:G32)</f>
        <v>44</v>
      </c>
      <c r="H35" s="67">
        <f>SUM(H8:H32)</f>
        <v>40</v>
      </c>
      <c r="I35" s="67">
        <f t="shared" si="5"/>
        <v>80</v>
      </c>
      <c r="J35" s="67">
        <f t="shared" si="5"/>
        <v>88</v>
      </c>
      <c r="K35" s="11">
        <f t="shared" si="5"/>
        <v>0</v>
      </c>
      <c r="L35" s="11">
        <f t="shared" si="5"/>
        <v>0</v>
      </c>
      <c r="M35" s="67">
        <f t="shared" si="5"/>
        <v>119</v>
      </c>
      <c r="N35" s="67">
        <f t="shared" si="5"/>
        <v>0</v>
      </c>
      <c r="O35" s="11">
        <f t="shared" si="5"/>
        <v>43</v>
      </c>
      <c r="P35" s="11">
        <f t="shared" si="5"/>
        <v>0</v>
      </c>
      <c r="Q35" s="67">
        <f t="shared" si="5"/>
        <v>21</v>
      </c>
      <c r="R35" s="67">
        <f t="shared" si="5"/>
        <v>12</v>
      </c>
      <c r="S35" s="11">
        <f t="shared" si="5"/>
        <v>52</v>
      </c>
      <c r="T35" s="11">
        <f t="shared" si="5"/>
        <v>42</v>
      </c>
      <c r="U35" s="62"/>
      <c r="V35" s="62"/>
      <c r="W35" s="67"/>
      <c r="X35" s="11"/>
      <c r="Z35" s="8"/>
    </row>
    <row r="36" spans="1:26" s="9" customFormat="1" ht="10.5" x14ac:dyDescent="0.25"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>
        <f>SUM(U8:U35)</f>
        <v>405</v>
      </c>
      <c r="V36" s="22">
        <f>SUM(V8:V35)</f>
        <v>257</v>
      </c>
      <c r="W36" s="22">
        <f>SUM(W8:W35)</f>
        <v>21</v>
      </c>
      <c r="X36" s="22">
        <f>SUM(X8:X35)</f>
        <v>13</v>
      </c>
    </row>
    <row r="37" spans="1:26" s="9" customFormat="1" x14ac:dyDescent="0.3">
      <c r="C37" s="69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Z37" s="8"/>
    </row>
  </sheetData>
  <mergeCells count="18">
    <mergeCell ref="X4:X6"/>
    <mergeCell ref="A5:B5"/>
    <mergeCell ref="A6:B6"/>
    <mergeCell ref="A7:B7"/>
    <mergeCell ref="V4:V6"/>
    <mergeCell ref="W4:W6"/>
    <mergeCell ref="A35:B35"/>
    <mergeCell ref="O4:P4"/>
    <mergeCell ref="Q4:R4"/>
    <mergeCell ref="S4:T4"/>
    <mergeCell ref="U4:U6"/>
    <mergeCell ref="A4:B4"/>
    <mergeCell ref="C4:D4"/>
    <mergeCell ref="E4:F4"/>
    <mergeCell ref="I4:J4"/>
    <mergeCell ref="K4:L4"/>
    <mergeCell ref="G4:H4"/>
    <mergeCell ref="M4:N4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Q43"/>
  <sheetViews>
    <sheetView zoomScale="80" zoomScaleNormal="80" zoomScalePageLayoutView="83" workbookViewId="0">
      <pane xSplit="7" topLeftCell="T1" activePane="topRight" state="frozen"/>
      <selection pane="topRight" activeCell="G49" sqref="G49"/>
    </sheetView>
  </sheetViews>
  <sheetFormatPr defaultColWidth="8.81640625" defaultRowHeight="12.5" x14ac:dyDescent="0.25"/>
  <sheetData>
    <row r="1" spans="1:69" ht="21" x14ac:dyDescent="0.25">
      <c r="A1" s="187" t="s">
        <v>4</v>
      </c>
      <c r="B1" s="188" t="s">
        <v>93</v>
      </c>
      <c r="C1" s="188" t="s">
        <v>99</v>
      </c>
      <c r="D1" s="187" t="s">
        <v>19</v>
      </c>
      <c r="E1" s="187" t="s">
        <v>61</v>
      </c>
      <c r="F1" s="187" t="s">
        <v>0</v>
      </c>
      <c r="G1" s="190" t="s">
        <v>43</v>
      </c>
      <c r="H1" s="190" t="s">
        <v>59</v>
      </c>
      <c r="I1" s="190"/>
      <c r="J1" s="10" t="s">
        <v>13</v>
      </c>
      <c r="K1" s="10"/>
      <c r="L1" s="10"/>
      <c r="M1" s="17"/>
      <c r="N1" s="17"/>
      <c r="O1" s="10" t="s">
        <v>18</v>
      </c>
      <c r="P1" s="15"/>
      <c r="Q1" s="15"/>
      <c r="R1" s="15"/>
      <c r="S1" s="16"/>
      <c r="T1" s="10"/>
      <c r="U1" s="97" t="s">
        <v>11</v>
      </c>
      <c r="V1" s="97"/>
      <c r="W1" s="98"/>
      <c r="X1" s="98"/>
      <c r="Y1" s="189" t="s">
        <v>133</v>
      </c>
      <c r="Z1" s="17" t="s">
        <v>12</v>
      </c>
      <c r="AA1" s="17"/>
      <c r="AB1" s="15"/>
      <c r="AC1" s="16"/>
      <c r="AD1" s="2"/>
      <c r="AE1" s="4" t="s">
        <v>51</v>
      </c>
      <c r="AF1" s="4"/>
      <c r="AG1" s="4"/>
      <c r="AH1" s="4"/>
      <c r="AI1" s="4"/>
      <c r="AJ1" s="4"/>
      <c r="AK1" s="97" t="s">
        <v>11</v>
      </c>
      <c r="AL1" s="97"/>
      <c r="AM1" s="98"/>
      <c r="AN1" s="98"/>
      <c r="AO1" s="189" t="s">
        <v>133</v>
      </c>
      <c r="AP1" s="18" t="s">
        <v>12</v>
      </c>
      <c r="AQ1" s="19"/>
      <c r="AR1" s="18"/>
      <c r="AS1" s="16"/>
      <c r="AT1" s="2"/>
      <c r="AU1" s="4" t="s">
        <v>50</v>
      </c>
      <c r="AV1" s="4"/>
      <c r="AW1" s="4"/>
      <c r="AX1" s="4"/>
      <c r="AY1" s="4"/>
      <c r="AZ1" s="44"/>
      <c r="BA1" s="44"/>
      <c r="BB1" s="44"/>
      <c r="BC1" s="42"/>
      <c r="BD1" s="42"/>
      <c r="BE1" s="42"/>
      <c r="BF1" s="42"/>
      <c r="BG1" s="42"/>
      <c r="BH1" s="42" t="s">
        <v>51</v>
      </c>
      <c r="BI1" s="42"/>
      <c r="BJ1" s="42"/>
      <c r="BK1" s="42"/>
      <c r="BL1" s="42"/>
      <c r="BM1" s="42" t="s">
        <v>50</v>
      </c>
      <c r="BN1" s="42"/>
      <c r="BO1" s="42"/>
    </row>
    <row r="2" spans="1:69" s="191" customFormat="1" ht="13" x14ac:dyDescent="0.25">
      <c r="A2" s="133" t="s">
        <v>226</v>
      </c>
      <c r="B2" s="193" t="s">
        <v>350</v>
      </c>
      <c r="C2" s="58" t="s">
        <v>116</v>
      </c>
      <c r="D2" s="128" t="s">
        <v>107</v>
      </c>
      <c r="E2" s="128" t="s">
        <v>226</v>
      </c>
      <c r="F2" s="133" t="s">
        <v>227</v>
      </c>
      <c r="G2" s="133" t="s">
        <v>270</v>
      </c>
      <c r="H2" s="127"/>
      <c r="I2" s="127"/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f t="shared" ref="O2:O5" si="0">J2/15</f>
        <v>0</v>
      </c>
      <c r="P2" s="126">
        <f t="shared" ref="P2:Q5" si="1">J2/15</f>
        <v>0</v>
      </c>
      <c r="Q2" s="126">
        <f t="shared" si="1"/>
        <v>0</v>
      </c>
      <c r="R2" s="126">
        <f t="shared" ref="R2:S5" si="2">K2/15</f>
        <v>0</v>
      </c>
      <c r="S2" s="126">
        <f t="shared" si="2"/>
        <v>0</v>
      </c>
      <c r="T2" s="126">
        <f t="shared" ref="T2:T5" si="3">L2/15</f>
        <v>0</v>
      </c>
      <c r="U2" s="126">
        <f t="shared" ref="U2:U5" si="4">IF(J2&lt;&gt;0,IF(I2="Y",IF(Y2&lt;&gt;0,1,0),0),0)</f>
        <v>0</v>
      </c>
      <c r="V2" s="126">
        <f>IF(J2&lt;&gt;0,IF(I2&lt;&gt;"Y",IF(Y2&gt;=20,ROUND(Y2/#REF!,0),IF(Y2&lt;&gt;0,1,0)),0),0)</f>
        <v>0</v>
      </c>
      <c r="W2" s="126">
        <v>2</v>
      </c>
      <c r="X2" s="126">
        <f>IF(L2&lt;&gt;0,IF(Y2&gt;=10,ROUND(Y2/#REF!,0),IF(Y2&lt;&gt;0,1,0)),0)</f>
        <v>0</v>
      </c>
      <c r="Y2" s="59">
        <v>46</v>
      </c>
      <c r="Z2" s="126">
        <f t="shared" ref="Z2:Z5" si="5">U2*J2</f>
        <v>0</v>
      </c>
      <c r="AA2" s="126">
        <f t="shared" ref="AA2:AC5" si="6">V2*J2</f>
        <v>0</v>
      </c>
      <c r="AB2" s="126">
        <f t="shared" si="6"/>
        <v>0</v>
      </c>
      <c r="AC2" s="126">
        <f t="shared" si="6"/>
        <v>0</v>
      </c>
      <c r="AD2" s="126">
        <v>0</v>
      </c>
      <c r="AE2" s="126">
        <v>46</v>
      </c>
      <c r="AF2" s="126"/>
      <c r="AG2" s="126"/>
      <c r="AH2" s="126"/>
      <c r="AI2" s="126">
        <f t="shared" ref="AI2:AI16" si="7">SUM(AD2:AH2)</f>
        <v>46</v>
      </c>
      <c r="AJ2" s="127"/>
      <c r="AK2" s="126">
        <f t="shared" ref="AK2:AS8" si="8">IF(J2&lt;&gt;0,IF(I2="Y",IF(AO2&lt;&gt;0,1,0),0),0)</f>
        <v>0</v>
      </c>
      <c r="AL2" s="126">
        <f>IF(J2&lt;&gt;0,IF(I2&lt;&gt;"Y",IF(AO2&gt;=20,ROUND(AO2/#REF!,0),IF(AO2&lt;&gt;0,1,0)),0),0)</f>
        <v>0</v>
      </c>
      <c r="AM2" s="126">
        <v>2</v>
      </c>
      <c r="AN2" s="126">
        <f>IF(L2&lt;&gt;0,IF(AO2&gt;=10,ROUND(AO2/#REF!,0),IF(AO2&lt;&gt;0,1,0)),0)</f>
        <v>0</v>
      </c>
      <c r="AO2" s="59">
        <v>46</v>
      </c>
      <c r="AP2" s="126">
        <f t="shared" ref="AP2:AP5" si="9">AK2*AVERAGE(O2:P2)*15</f>
        <v>0</v>
      </c>
      <c r="AQ2" s="126">
        <f t="shared" ref="AQ2:AQ5" si="10">AL2*AVERAGE(O2:P2)*15</f>
        <v>0</v>
      </c>
      <c r="AR2" s="126">
        <f t="shared" ref="AR2:AR5" si="11">AM2*AVERAGE(Q2:R2)*15</f>
        <v>0</v>
      </c>
      <c r="AS2" s="126">
        <f t="shared" ref="AS2:AS5" si="12">AN2*AVERAGE(S2:T2)*15</f>
        <v>0</v>
      </c>
      <c r="AT2" s="126">
        <v>2</v>
      </c>
      <c r="AU2" s="126">
        <v>46</v>
      </c>
      <c r="AV2" s="126">
        <v>0</v>
      </c>
      <c r="AW2" s="126"/>
      <c r="AX2" s="126"/>
      <c r="AY2" s="126">
        <f t="shared" ref="AY2:AY43" si="13">SUM($AU2:$AX2)</f>
        <v>46</v>
      </c>
      <c r="AZ2" s="127"/>
      <c r="BA2" s="127"/>
      <c r="BB2" s="2"/>
      <c r="BC2" s="27">
        <f t="shared" ref="BC2:BC5" si="14">SUM(Z2:AC2)</f>
        <v>0</v>
      </c>
      <c r="BD2" s="27">
        <f t="shared" ref="BD2:BD43" si="15">SUM(AP2:AS2)</f>
        <v>0</v>
      </c>
      <c r="BE2" s="27"/>
      <c r="BF2" s="27">
        <f t="shared" ref="BF2:BF43" si="16">IF($BD$3="S1",IF(Y2=0,0,IF(ISNUMBER(SEARCH("Changed",H2)),2,1)),IF(AO2=0,0,IF(ISNUMBER(SEARCH("Changed",H2)),2,1)))</f>
        <v>1</v>
      </c>
      <c r="BG2" s="27"/>
      <c r="BH2" s="27">
        <f t="shared" ref="BH2:BI8" si="17">Z2+AA2</f>
        <v>0</v>
      </c>
      <c r="BI2" s="27">
        <f t="shared" ref="BI2:BJ5" si="18">AB2</f>
        <v>0</v>
      </c>
      <c r="BJ2" s="27">
        <f t="shared" si="18"/>
        <v>0</v>
      </c>
      <c r="BK2" s="27"/>
      <c r="BL2" s="27"/>
      <c r="BM2" s="27">
        <f t="shared" ref="BM2:BM5" si="19">AP2+AQ2</f>
        <v>0</v>
      </c>
      <c r="BN2" s="27">
        <f t="shared" ref="BN2:BN5" si="20">AR2</f>
        <v>0</v>
      </c>
      <c r="BO2" s="27">
        <v>1</v>
      </c>
      <c r="BP2" s="27"/>
      <c r="BQ2" s="27"/>
    </row>
    <row r="3" spans="1:69" s="191" customFormat="1" ht="13" x14ac:dyDescent="0.25">
      <c r="A3" s="133" t="s">
        <v>226</v>
      </c>
      <c r="B3" s="193" t="s">
        <v>350</v>
      </c>
      <c r="C3" s="58" t="s">
        <v>116</v>
      </c>
      <c r="D3" s="128" t="s">
        <v>107</v>
      </c>
      <c r="E3" s="128" t="s">
        <v>226</v>
      </c>
      <c r="F3" s="133" t="s">
        <v>228</v>
      </c>
      <c r="G3" s="133" t="s">
        <v>271</v>
      </c>
      <c r="H3" s="127"/>
      <c r="I3" s="127"/>
      <c r="J3" s="126">
        <v>0</v>
      </c>
      <c r="K3" s="126">
        <v>0</v>
      </c>
      <c r="L3" s="126">
        <v>0</v>
      </c>
      <c r="M3" s="126">
        <v>0</v>
      </c>
      <c r="N3" s="126">
        <v>0</v>
      </c>
      <c r="O3" s="126">
        <f t="shared" si="0"/>
        <v>0</v>
      </c>
      <c r="P3" s="126">
        <f t="shared" si="1"/>
        <v>0</v>
      </c>
      <c r="Q3" s="126">
        <f t="shared" si="1"/>
        <v>0</v>
      </c>
      <c r="R3" s="126">
        <f t="shared" si="2"/>
        <v>0</v>
      </c>
      <c r="S3" s="126">
        <f t="shared" si="2"/>
        <v>0</v>
      </c>
      <c r="T3" s="126">
        <f t="shared" si="3"/>
        <v>0</v>
      </c>
      <c r="U3" s="126">
        <f t="shared" si="4"/>
        <v>0</v>
      </c>
      <c r="V3" s="126">
        <f>IF(J3&lt;&gt;0,IF(I3&lt;&gt;"Y",IF(Y3&gt;=20,ROUND(Y3/#REF!,0),IF(Y3&lt;&gt;0,1,0)),0),0)</f>
        <v>0</v>
      </c>
      <c r="W3" s="126">
        <v>2</v>
      </c>
      <c r="X3" s="126">
        <f>IF(L3&lt;&gt;0,IF(Y3&gt;=10,ROUND(Y3/#REF!,0),IF(Y3&lt;&gt;0,1,0)),0)</f>
        <v>0</v>
      </c>
      <c r="Y3" s="59">
        <v>46</v>
      </c>
      <c r="Z3" s="126">
        <f t="shared" si="5"/>
        <v>0</v>
      </c>
      <c r="AA3" s="126">
        <f t="shared" si="6"/>
        <v>0</v>
      </c>
      <c r="AB3" s="126">
        <f t="shared" si="6"/>
        <v>0</v>
      </c>
      <c r="AC3" s="126">
        <f t="shared" si="6"/>
        <v>0</v>
      </c>
      <c r="AD3" s="126">
        <v>0</v>
      </c>
      <c r="AE3" s="126">
        <v>46</v>
      </c>
      <c r="AF3" s="126"/>
      <c r="AG3" s="126"/>
      <c r="AH3" s="126"/>
      <c r="AI3" s="126">
        <f t="shared" si="7"/>
        <v>46</v>
      </c>
      <c r="AJ3" s="127"/>
      <c r="AK3" s="126">
        <f t="shared" si="8"/>
        <v>0</v>
      </c>
      <c r="AL3" s="126">
        <f>IF(J3&lt;&gt;0,IF(I3&lt;&gt;"Y",IF(AO3&gt;=20,ROUND(AO3/#REF!,0),IF(AO3&lt;&gt;0,1,0)),0),0)</f>
        <v>0</v>
      </c>
      <c r="AM3" s="126">
        <v>2</v>
      </c>
      <c r="AN3" s="126">
        <f>IF(L3&lt;&gt;0,IF(AO3&gt;=10,ROUND(AO3/#REF!,0),IF(AO3&lt;&gt;0,1,0)),0)</f>
        <v>0</v>
      </c>
      <c r="AO3" s="59">
        <v>46</v>
      </c>
      <c r="AP3" s="126">
        <f t="shared" si="9"/>
        <v>0</v>
      </c>
      <c r="AQ3" s="126">
        <f t="shared" si="10"/>
        <v>0</v>
      </c>
      <c r="AR3" s="126">
        <f t="shared" si="11"/>
        <v>0</v>
      </c>
      <c r="AS3" s="126">
        <f t="shared" si="12"/>
        <v>0</v>
      </c>
      <c r="AT3" s="126">
        <v>2</v>
      </c>
      <c r="AU3" s="126">
        <v>46</v>
      </c>
      <c r="AV3" s="126">
        <v>0</v>
      </c>
      <c r="AW3" s="126"/>
      <c r="AX3" s="126"/>
      <c r="AY3" s="126">
        <f t="shared" si="13"/>
        <v>46</v>
      </c>
      <c r="AZ3" s="127"/>
      <c r="BA3" s="127"/>
      <c r="BB3" s="2"/>
      <c r="BC3" s="27">
        <f t="shared" si="14"/>
        <v>0</v>
      </c>
      <c r="BD3" s="27">
        <f t="shared" si="15"/>
        <v>0</v>
      </c>
      <c r="BE3" s="27"/>
      <c r="BF3" s="27">
        <f t="shared" si="16"/>
        <v>1</v>
      </c>
      <c r="BG3" s="27"/>
      <c r="BH3" s="27">
        <f t="shared" si="17"/>
        <v>0</v>
      </c>
      <c r="BI3" s="27">
        <f t="shared" si="18"/>
        <v>0</v>
      </c>
      <c r="BJ3" s="27">
        <f t="shared" si="18"/>
        <v>0</v>
      </c>
      <c r="BK3" s="27"/>
      <c r="BL3" s="27"/>
      <c r="BM3" s="27">
        <f t="shared" si="19"/>
        <v>0</v>
      </c>
      <c r="BN3" s="27">
        <f t="shared" si="20"/>
        <v>0</v>
      </c>
      <c r="BO3" s="27">
        <v>1</v>
      </c>
      <c r="BP3" s="27"/>
      <c r="BQ3" s="27"/>
    </row>
    <row r="4" spans="1:69" s="191" customFormat="1" ht="13" x14ac:dyDescent="0.25">
      <c r="A4" s="133" t="s">
        <v>226</v>
      </c>
      <c r="B4" s="193" t="s">
        <v>351</v>
      </c>
      <c r="C4" s="58" t="s">
        <v>116</v>
      </c>
      <c r="D4" s="128" t="s">
        <v>107</v>
      </c>
      <c r="E4" s="128" t="s">
        <v>226</v>
      </c>
      <c r="F4" s="133" t="s">
        <v>49</v>
      </c>
      <c r="G4" s="133" t="s">
        <v>272</v>
      </c>
      <c r="H4" s="127"/>
      <c r="I4" s="127"/>
      <c r="J4" s="126">
        <v>0</v>
      </c>
      <c r="K4" s="126">
        <v>0</v>
      </c>
      <c r="L4" s="126">
        <v>0</v>
      </c>
      <c r="M4" s="126">
        <v>0</v>
      </c>
      <c r="N4" s="126">
        <v>0</v>
      </c>
      <c r="O4" s="126">
        <f t="shared" si="0"/>
        <v>0</v>
      </c>
      <c r="P4" s="126">
        <f t="shared" si="1"/>
        <v>0</v>
      </c>
      <c r="Q4" s="126">
        <f t="shared" si="1"/>
        <v>0</v>
      </c>
      <c r="R4" s="126">
        <f t="shared" si="2"/>
        <v>0</v>
      </c>
      <c r="S4" s="126">
        <f t="shared" si="2"/>
        <v>0</v>
      </c>
      <c r="T4" s="126">
        <f t="shared" si="3"/>
        <v>0</v>
      </c>
      <c r="U4" s="126">
        <f t="shared" si="4"/>
        <v>0</v>
      </c>
      <c r="V4" s="126">
        <f>IF(J4&lt;&gt;0,IF(I4&lt;&gt;"Y",IF(Y4&gt;=20,ROUND(Y4/#REF!,0),IF(Y4&lt;&gt;0,1,0)),0),0)</f>
        <v>0</v>
      </c>
      <c r="W4" s="126">
        <v>1</v>
      </c>
      <c r="X4" s="126">
        <f>IF(L4&lt;&gt;0,IF(Y4&gt;=10,ROUND(Y4/#REF!,0),IF(Y4&lt;&gt;0,1,0)),0)</f>
        <v>0</v>
      </c>
      <c r="Y4" s="59">
        <v>23</v>
      </c>
      <c r="Z4" s="126">
        <f t="shared" si="5"/>
        <v>0</v>
      </c>
      <c r="AA4" s="126">
        <f t="shared" si="6"/>
        <v>0</v>
      </c>
      <c r="AB4" s="126">
        <f t="shared" si="6"/>
        <v>0</v>
      </c>
      <c r="AC4" s="126">
        <f t="shared" si="6"/>
        <v>0</v>
      </c>
      <c r="AD4" s="126">
        <v>0</v>
      </c>
      <c r="AE4" s="126">
        <v>23</v>
      </c>
      <c r="AF4" s="126"/>
      <c r="AG4" s="126"/>
      <c r="AH4" s="126"/>
      <c r="AI4" s="126">
        <f t="shared" si="7"/>
        <v>23</v>
      </c>
      <c r="AJ4" s="127"/>
      <c r="AK4" s="126">
        <f t="shared" si="8"/>
        <v>0</v>
      </c>
      <c r="AL4" s="126">
        <f>IF(J4&lt;&gt;0,IF(I4&lt;&gt;"Y",IF(AO4&gt;=20,ROUND(AO4/#REF!,0),IF(AO4&lt;&gt;0,1,0)),0),0)</f>
        <v>0</v>
      </c>
      <c r="AM4" s="126">
        <v>2</v>
      </c>
      <c r="AN4" s="126">
        <f>IF(L4&lt;&gt;0,IF(AO4&gt;=10,ROUND(AO4/#REF!,0),IF(AO4&lt;&gt;0,1,0)),0)</f>
        <v>0</v>
      </c>
      <c r="AO4" s="59">
        <v>46</v>
      </c>
      <c r="AP4" s="126">
        <f t="shared" si="9"/>
        <v>0</v>
      </c>
      <c r="AQ4" s="126">
        <f t="shared" si="10"/>
        <v>0</v>
      </c>
      <c r="AR4" s="126">
        <f t="shared" si="11"/>
        <v>0</v>
      </c>
      <c r="AS4" s="126">
        <f t="shared" si="12"/>
        <v>0</v>
      </c>
      <c r="AT4" s="126">
        <v>2</v>
      </c>
      <c r="AU4" s="126">
        <v>46</v>
      </c>
      <c r="AV4" s="126">
        <v>0</v>
      </c>
      <c r="AW4" s="126"/>
      <c r="AX4" s="126"/>
      <c r="AY4" s="126">
        <f t="shared" si="13"/>
        <v>46</v>
      </c>
      <c r="AZ4" s="127"/>
      <c r="BA4" s="127"/>
      <c r="BB4" s="2"/>
      <c r="BC4" s="27">
        <f t="shared" si="14"/>
        <v>0</v>
      </c>
      <c r="BD4" s="27">
        <f t="shared" si="15"/>
        <v>0</v>
      </c>
      <c r="BE4" s="27"/>
      <c r="BF4" s="27">
        <f t="shared" si="16"/>
        <v>1</v>
      </c>
      <c r="BG4" s="27"/>
      <c r="BH4" s="27">
        <f t="shared" si="17"/>
        <v>0</v>
      </c>
      <c r="BI4" s="27">
        <f t="shared" si="18"/>
        <v>0</v>
      </c>
      <c r="BJ4" s="27">
        <f t="shared" si="18"/>
        <v>0</v>
      </c>
      <c r="BK4" s="27"/>
      <c r="BL4" s="27"/>
      <c r="BM4" s="27">
        <f t="shared" si="19"/>
        <v>0</v>
      </c>
      <c r="BN4" s="27">
        <f t="shared" si="20"/>
        <v>0</v>
      </c>
      <c r="BO4" s="27">
        <v>1</v>
      </c>
      <c r="BP4" s="27"/>
      <c r="BQ4" s="27"/>
    </row>
    <row r="5" spans="1:69" s="191" customFormat="1" ht="13" x14ac:dyDescent="0.25">
      <c r="A5" s="133" t="s">
        <v>226</v>
      </c>
      <c r="B5" s="193" t="s">
        <v>351</v>
      </c>
      <c r="C5" s="58" t="s">
        <v>116</v>
      </c>
      <c r="D5" s="128" t="s">
        <v>107</v>
      </c>
      <c r="E5" s="128" t="s">
        <v>226</v>
      </c>
      <c r="F5" s="133" t="s">
        <v>229</v>
      </c>
      <c r="G5" s="133" t="s">
        <v>273</v>
      </c>
      <c r="H5" s="127"/>
      <c r="I5" s="127"/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f t="shared" si="0"/>
        <v>0</v>
      </c>
      <c r="P5" s="126">
        <f t="shared" si="1"/>
        <v>0</v>
      </c>
      <c r="Q5" s="126">
        <f t="shared" si="1"/>
        <v>0</v>
      </c>
      <c r="R5" s="126">
        <f t="shared" si="2"/>
        <v>0</v>
      </c>
      <c r="S5" s="126">
        <f t="shared" si="2"/>
        <v>0</v>
      </c>
      <c r="T5" s="126">
        <f t="shared" si="3"/>
        <v>0</v>
      </c>
      <c r="U5" s="126">
        <f t="shared" si="4"/>
        <v>0</v>
      </c>
      <c r="V5" s="126">
        <f>IF(J5&lt;&gt;0,IF(I5&lt;&gt;"Y",IF(Y5&gt;=20,ROUND(Y5/#REF!,0),IF(Y5&lt;&gt;0,1,0)),0),0)</f>
        <v>0</v>
      </c>
      <c r="W5" s="126">
        <v>1</v>
      </c>
      <c r="X5" s="126">
        <f>IF(L5&lt;&gt;0,IF(Y5&gt;=10,ROUND(Y5/#REF!,0),IF(Y5&lt;&gt;0,1,0)),0)</f>
        <v>0</v>
      </c>
      <c r="Y5" s="59">
        <v>23</v>
      </c>
      <c r="Z5" s="126">
        <f t="shared" si="5"/>
        <v>0</v>
      </c>
      <c r="AA5" s="126">
        <f t="shared" si="6"/>
        <v>0</v>
      </c>
      <c r="AB5" s="126">
        <f t="shared" si="6"/>
        <v>0</v>
      </c>
      <c r="AC5" s="126">
        <f t="shared" si="6"/>
        <v>0</v>
      </c>
      <c r="AD5" s="126">
        <v>0</v>
      </c>
      <c r="AE5" s="126">
        <v>23</v>
      </c>
      <c r="AF5" s="126"/>
      <c r="AG5" s="126"/>
      <c r="AH5" s="126"/>
      <c r="AI5" s="126">
        <f t="shared" si="7"/>
        <v>23</v>
      </c>
      <c r="AJ5" s="127"/>
      <c r="AK5" s="126">
        <f t="shared" si="8"/>
        <v>0</v>
      </c>
      <c r="AL5" s="126">
        <f>IF(J5&lt;&gt;0,IF(I5&lt;&gt;"Y",IF(AO5&gt;=20,ROUND(AO5/#REF!,0),IF(AO5&lt;&gt;0,1,0)),0),0)</f>
        <v>0</v>
      </c>
      <c r="AM5" s="126">
        <v>2</v>
      </c>
      <c r="AN5" s="126">
        <f>IF(L5&lt;&gt;0,IF(AO5&gt;=10,ROUND(AO5/#REF!,0),IF(AO5&lt;&gt;0,1,0)),0)</f>
        <v>0</v>
      </c>
      <c r="AO5" s="59">
        <v>46</v>
      </c>
      <c r="AP5" s="126">
        <f t="shared" si="9"/>
        <v>0</v>
      </c>
      <c r="AQ5" s="126">
        <f t="shared" si="10"/>
        <v>0</v>
      </c>
      <c r="AR5" s="126">
        <f t="shared" si="11"/>
        <v>0</v>
      </c>
      <c r="AS5" s="126">
        <f t="shared" si="12"/>
        <v>0</v>
      </c>
      <c r="AT5" s="126">
        <v>2</v>
      </c>
      <c r="AU5" s="126">
        <v>46</v>
      </c>
      <c r="AV5" s="126">
        <v>0</v>
      </c>
      <c r="AW5" s="126"/>
      <c r="AX5" s="126"/>
      <c r="AY5" s="126">
        <f t="shared" si="13"/>
        <v>46</v>
      </c>
      <c r="AZ5" s="127"/>
      <c r="BA5" s="127"/>
      <c r="BB5" s="2"/>
      <c r="BC5" s="27">
        <f t="shared" si="14"/>
        <v>0</v>
      </c>
      <c r="BD5" s="27">
        <f t="shared" si="15"/>
        <v>0</v>
      </c>
      <c r="BE5" s="27"/>
      <c r="BF5" s="27">
        <f t="shared" si="16"/>
        <v>1</v>
      </c>
      <c r="BG5" s="27"/>
      <c r="BH5" s="27">
        <f t="shared" si="17"/>
        <v>0</v>
      </c>
      <c r="BI5" s="27">
        <f t="shared" si="18"/>
        <v>0</v>
      </c>
      <c r="BJ5" s="27">
        <f t="shared" si="18"/>
        <v>0</v>
      </c>
      <c r="BK5" s="27"/>
      <c r="BL5" s="27"/>
      <c r="BM5" s="27">
        <f t="shared" si="19"/>
        <v>0</v>
      </c>
      <c r="BN5" s="27">
        <f t="shared" si="20"/>
        <v>0</v>
      </c>
      <c r="BO5" s="27">
        <v>1</v>
      </c>
      <c r="BP5" s="27"/>
      <c r="BQ5" s="27"/>
    </row>
    <row r="6" spans="1:69" s="140" customFormat="1" ht="13" x14ac:dyDescent="0.25">
      <c r="A6" s="57" t="s">
        <v>277</v>
      </c>
      <c r="B6" s="58" t="s">
        <v>350</v>
      </c>
      <c r="C6" s="58" t="s">
        <v>116</v>
      </c>
      <c r="D6" s="57" t="s">
        <v>107</v>
      </c>
      <c r="E6" s="57" t="s">
        <v>277</v>
      </c>
      <c r="F6" s="57" t="s">
        <v>225</v>
      </c>
      <c r="G6" s="128" t="s">
        <v>274</v>
      </c>
      <c r="H6" s="128"/>
      <c r="I6" s="128"/>
      <c r="J6" s="58">
        <v>0</v>
      </c>
      <c r="K6" s="58">
        <v>0</v>
      </c>
      <c r="L6" s="58">
        <v>0</v>
      </c>
      <c r="M6" s="58">
        <v>0</v>
      </c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2</v>
      </c>
      <c r="X6" s="58">
        <v>0</v>
      </c>
      <c r="Y6" s="58">
        <v>44</v>
      </c>
      <c r="Z6" s="58">
        <v>0</v>
      </c>
      <c r="AA6" s="58">
        <v>0</v>
      </c>
      <c r="AB6" s="58">
        <v>0</v>
      </c>
      <c r="AC6" s="58">
        <v>0</v>
      </c>
      <c r="AD6" s="126">
        <v>0</v>
      </c>
      <c r="AE6" s="126">
        <v>44</v>
      </c>
      <c r="AF6" s="126"/>
      <c r="AG6" s="126"/>
      <c r="AH6" s="126"/>
      <c r="AI6" s="126">
        <f t="shared" si="7"/>
        <v>44</v>
      </c>
      <c r="AJ6" s="126"/>
      <c r="AK6" s="126">
        <f t="shared" si="8"/>
        <v>0</v>
      </c>
      <c r="AL6" s="126">
        <f t="shared" si="8"/>
        <v>0</v>
      </c>
      <c r="AM6" s="126">
        <v>2</v>
      </c>
      <c r="AN6" s="126">
        <f t="shared" si="8"/>
        <v>0</v>
      </c>
      <c r="AO6" s="126">
        <v>44</v>
      </c>
      <c r="AP6" s="126">
        <f t="shared" si="8"/>
        <v>0</v>
      </c>
      <c r="AQ6" s="126">
        <f t="shared" si="8"/>
        <v>0</v>
      </c>
      <c r="AR6" s="126">
        <f t="shared" si="8"/>
        <v>0</v>
      </c>
      <c r="AS6" s="126">
        <f t="shared" si="8"/>
        <v>0</v>
      </c>
      <c r="AT6" s="126">
        <v>2</v>
      </c>
      <c r="AU6" s="126">
        <v>44</v>
      </c>
      <c r="AV6" s="126">
        <v>0</v>
      </c>
      <c r="AW6" s="126"/>
      <c r="AX6" s="126"/>
      <c r="AY6" s="126">
        <f t="shared" si="13"/>
        <v>44</v>
      </c>
      <c r="AZ6" s="127"/>
      <c r="BA6" s="127"/>
      <c r="BB6" s="2"/>
      <c r="BC6" s="27">
        <f t="shared" ref="BC6:BC8" si="21">SUM(Z6:AC6)</f>
        <v>0</v>
      </c>
      <c r="BD6" s="27">
        <f t="shared" si="15"/>
        <v>0</v>
      </c>
      <c r="BE6" s="27"/>
      <c r="BF6" s="27">
        <f t="shared" si="16"/>
        <v>1</v>
      </c>
      <c r="BG6" s="27"/>
      <c r="BH6" s="27">
        <f t="shared" si="17"/>
        <v>0</v>
      </c>
      <c r="BI6" s="27">
        <f t="shared" si="17"/>
        <v>0</v>
      </c>
      <c r="BJ6" s="27">
        <v>1</v>
      </c>
      <c r="BK6" s="27"/>
      <c r="BL6" s="27"/>
      <c r="BM6" s="27">
        <f t="shared" ref="BM6:BN8" si="22">AE6+AF6</f>
        <v>44</v>
      </c>
      <c r="BN6" s="27">
        <f t="shared" si="22"/>
        <v>0</v>
      </c>
      <c r="BO6" s="27">
        <v>1</v>
      </c>
    </row>
    <row r="7" spans="1:69" s="140" customFormat="1" ht="13" x14ac:dyDescent="0.25">
      <c r="A7" s="57" t="s">
        <v>277</v>
      </c>
      <c r="B7" s="58" t="s">
        <v>350</v>
      </c>
      <c r="C7" s="58" t="s">
        <v>116</v>
      </c>
      <c r="D7" s="57" t="s">
        <v>107</v>
      </c>
      <c r="E7" s="57" t="s">
        <v>277</v>
      </c>
      <c r="F7" s="57" t="s">
        <v>278</v>
      </c>
      <c r="G7" s="128" t="s">
        <v>307</v>
      </c>
      <c r="H7" s="128"/>
      <c r="I7" s="128"/>
      <c r="J7" s="58">
        <v>0</v>
      </c>
      <c r="K7" s="58">
        <v>0</v>
      </c>
      <c r="L7" s="58">
        <v>0</v>
      </c>
      <c r="M7" s="58">
        <v>0</v>
      </c>
      <c r="N7" s="58">
        <v>0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2</v>
      </c>
      <c r="X7" s="58">
        <v>0</v>
      </c>
      <c r="Y7" s="58">
        <v>44</v>
      </c>
      <c r="Z7" s="58">
        <v>0</v>
      </c>
      <c r="AA7" s="58">
        <v>0</v>
      </c>
      <c r="AB7" s="58">
        <v>0</v>
      </c>
      <c r="AC7" s="58">
        <v>0</v>
      </c>
      <c r="AD7" s="126">
        <v>0</v>
      </c>
      <c r="AE7" s="126">
        <v>44</v>
      </c>
      <c r="AF7" s="126"/>
      <c r="AG7" s="126"/>
      <c r="AH7" s="126"/>
      <c r="AI7" s="126">
        <f t="shared" si="7"/>
        <v>44</v>
      </c>
      <c r="AJ7" s="126"/>
      <c r="AK7" s="126">
        <f t="shared" si="8"/>
        <v>0</v>
      </c>
      <c r="AL7" s="126">
        <f t="shared" si="8"/>
        <v>0</v>
      </c>
      <c r="AM7" s="126">
        <v>2</v>
      </c>
      <c r="AN7" s="126">
        <f t="shared" si="8"/>
        <v>0</v>
      </c>
      <c r="AO7" s="126">
        <v>44</v>
      </c>
      <c r="AP7" s="126">
        <f t="shared" si="8"/>
        <v>0</v>
      </c>
      <c r="AQ7" s="126">
        <f t="shared" si="8"/>
        <v>0</v>
      </c>
      <c r="AR7" s="126">
        <f t="shared" si="8"/>
        <v>0</v>
      </c>
      <c r="AS7" s="126">
        <f t="shared" si="8"/>
        <v>0</v>
      </c>
      <c r="AT7" s="126">
        <v>2</v>
      </c>
      <c r="AU7" s="126">
        <v>44</v>
      </c>
      <c r="AV7" s="126">
        <v>0</v>
      </c>
      <c r="AW7" s="126"/>
      <c r="AX7" s="126"/>
      <c r="AY7" s="126">
        <f t="shared" si="13"/>
        <v>44</v>
      </c>
      <c r="AZ7" s="127"/>
      <c r="BA7" s="127"/>
      <c r="BB7" s="2"/>
      <c r="BC7" s="27">
        <f t="shared" si="21"/>
        <v>0</v>
      </c>
      <c r="BD7" s="27">
        <f t="shared" si="15"/>
        <v>0</v>
      </c>
      <c r="BE7" s="27"/>
      <c r="BF7" s="27">
        <f t="shared" si="16"/>
        <v>1</v>
      </c>
      <c r="BG7" s="27"/>
      <c r="BH7" s="27">
        <f t="shared" si="17"/>
        <v>0</v>
      </c>
      <c r="BI7" s="27">
        <f t="shared" si="17"/>
        <v>0</v>
      </c>
      <c r="BJ7" s="27">
        <v>1</v>
      </c>
      <c r="BK7" s="27"/>
      <c r="BL7" s="27"/>
      <c r="BM7" s="27">
        <f t="shared" si="22"/>
        <v>44</v>
      </c>
      <c r="BN7" s="27">
        <f t="shared" si="22"/>
        <v>0</v>
      </c>
      <c r="BO7" s="27">
        <v>1</v>
      </c>
    </row>
    <row r="8" spans="1:69" s="140" customFormat="1" ht="13" x14ac:dyDescent="0.25">
      <c r="A8" s="57" t="s">
        <v>277</v>
      </c>
      <c r="B8" s="58" t="s">
        <v>350</v>
      </c>
      <c r="C8" s="58" t="s">
        <v>116</v>
      </c>
      <c r="D8" s="57" t="s">
        <v>107</v>
      </c>
      <c r="E8" s="57" t="s">
        <v>277</v>
      </c>
      <c r="F8" s="57" t="s">
        <v>279</v>
      </c>
      <c r="G8" s="128" t="s">
        <v>308</v>
      </c>
      <c r="H8" s="128"/>
      <c r="I8" s="128"/>
      <c r="J8" s="58">
        <v>0</v>
      </c>
      <c r="K8" s="58">
        <v>0</v>
      </c>
      <c r="L8" s="58">
        <v>0</v>
      </c>
      <c r="M8" s="58">
        <v>0</v>
      </c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2</v>
      </c>
      <c r="X8" s="58">
        <v>0</v>
      </c>
      <c r="Y8" s="58">
        <v>44</v>
      </c>
      <c r="Z8" s="58">
        <v>0</v>
      </c>
      <c r="AA8" s="58">
        <v>0</v>
      </c>
      <c r="AB8" s="58">
        <v>0</v>
      </c>
      <c r="AC8" s="58">
        <v>0</v>
      </c>
      <c r="AD8" s="126">
        <v>0</v>
      </c>
      <c r="AE8" s="126">
        <v>44</v>
      </c>
      <c r="AF8" s="126"/>
      <c r="AG8" s="126"/>
      <c r="AH8" s="126"/>
      <c r="AI8" s="126">
        <f t="shared" si="7"/>
        <v>44</v>
      </c>
      <c r="AJ8" s="126"/>
      <c r="AK8" s="126">
        <f t="shared" si="8"/>
        <v>0</v>
      </c>
      <c r="AL8" s="126">
        <f t="shared" si="8"/>
        <v>0</v>
      </c>
      <c r="AM8" s="126">
        <v>2</v>
      </c>
      <c r="AN8" s="126">
        <f t="shared" si="8"/>
        <v>0</v>
      </c>
      <c r="AO8" s="126">
        <v>44</v>
      </c>
      <c r="AP8" s="126">
        <f t="shared" si="8"/>
        <v>0</v>
      </c>
      <c r="AQ8" s="126">
        <f t="shared" si="8"/>
        <v>0</v>
      </c>
      <c r="AR8" s="126">
        <f t="shared" si="8"/>
        <v>0</v>
      </c>
      <c r="AS8" s="126">
        <f t="shared" si="8"/>
        <v>0</v>
      </c>
      <c r="AT8" s="126">
        <v>2</v>
      </c>
      <c r="AU8" s="126">
        <v>44</v>
      </c>
      <c r="AV8" s="126">
        <v>0</v>
      </c>
      <c r="AW8" s="126"/>
      <c r="AX8" s="126"/>
      <c r="AY8" s="126">
        <f t="shared" si="13"/>
        <v>44</v>
      </c>
      <c r="AZ8" s="127"/>
      <c r="BA8" s="127"/>
      <c r="BB8" s="2"/>
      <c r="BC8" s="27">
        <f t="shared" si="21"/>
        <v>0</v>
      </c>
      <c r="BD8" s="27">
        <f t="shared" si="15"/>
        <v>0</v>
      </c>
      <c r="BE8" s="27"/>
      <c r="BF8" s="27">
        <f t="shared" si="16"/>
        <v>1</v>
      </c>
      <c r="BG8" s="27"/>
      <c r="BH8" s="27">
        <f t="shared" si="17"/>
        <v>0</v>
      </c>
      <c r="BI8" s="27">
        <f t="shared" si="17"/>
        <v>0</v>
      </c>
      <c r="BJ8" s="27">
        <v>1</v>
      </c>
      <c r="BK8" s="27"/>
      <c r="BL8" s="27"/>
      <c r="BM8" s="27">
        <f t="shared" si="22"/>
        <v>44</v>
      </c>
      <c r="BN8" s="27">
        <f t="shared" si="22"/>
        <v>0</v>
      </c>
      <c r="BO8" s="27">
        <v>1</v>
      </c>
    </row>
    <row r="9" spans="1:69" s="140" customFormat="1" ht="13" x14ac:dyDescent="0.25">
      <c r="A9" s="57" t="s">
        <v>277</v>
      </c>
      <c r="B9" s="58" t="s">
        <v>351</v>
      </c>
      <c r="C9" s="58" t="s">
        <v>116</v>
      </c>
      <c r="D9" s="57" t="s">
        <v>107</v>
      </c>
      <c r="E9" s="57" t="s">
        <v>277</v>
      </c>
      <c r="F9" s="57" t="s">
        <v>285</v>
      </c>
      <c r="G9" s="128" t="s">
        <v>309</v>
      </c>
      <c r="H9" s="128"/>
      <c r="I9" s="128"/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2</v>
      </c>
      <c r="X9" s="58">
        <v>0</v>
      </c>
      <c r="Y9" s="58">
        <v>34</v>
      </c>
      <c r="Z9" s="58">
        <v>0</v>
      </c>
      <c r="AA9" s="58">
        <v>0</v>
      </c>
      <c r="AB9" s="58">
        <v>0</v>
      </c>
      <c r="AC9" s="58">
        <v>0</v>
      </c>
      <c r="AD9" s="126">
        <v>0</v>
      </c>
      <c r="AE9" s="126">
        <v>34</v>
      </c>
      <c r="AF9" s="126"/>
      <c r="AG9" s="126"/>
      <c r="AH9" s="126"/>
      <c r="AI9" s="126">
        <v>34</v>
      </c>
      <c r="AJ9" s="126"/>
      <c r="AK9" s="126">
        <v>0</v>
      </c>
      <c r="AL9" s="126">
        <v>0</v>
      </c>
      <c r="AM9" s="126">
        <v>2</v>
      </c>
      <c r="AN9" s="126">
        <v>0</v>
      </c>
      <c r="AO9" s="126">
        <v>34</v>
      </c>
      <c r="AP9" s="126">
        <v>0</v>
      </c>
      <c r="AQ9" s="126">
        <v>0</v>
      </c>
      <c r="AR9" s="126">
        <v>0</v>
      </c>
      <c r="AS9" s="126">
        <v>0</v>
      </c>
      <c r="AT9" s="126">
        <v>2</v>
      </c>
      <c r="AU9" s="126">
        <v>34</v>
      </c>
      <c r="AV9" s="126">
        <v>0</v>
      </c>
      <c r="AW9" s="126"/>
      <c r="AX9" s="126"/>
      <c r="AY9" s="126">
        <f t="shared" si="13"/>
        <v>34</v>
      </c>
      <c r="AZ9" s="127"/>
      <c r="BA9" s="127"/>
      <c r="BB9" s="2"/>
      <c r="BC9" s="27">
        <v>0</v>
      </c>
      <c r="BD9" s="27">
        <f t="shared" si="15"/>
        <v>0</v>
      </c>
      <c r="BE9" s="27"/>
      <c r="BF9" s="27">
        <f t="shared" si="16"/>
        <v>1</v>
      </c>
      <c r="BG9" s="27"/>
      <c r="BH9" s="27">
        <v>0</v>
      </c>
      <c r="BI9" s="27">
        <v>0</v>
      </c>
      <c r="BJ9" s="27">
        <v>0</v>
      </c>
      <c r="BK9" s="27"/>
      <c r="BL9" s="27"/>
      <c r="BM9" s="27">
        <v>0</v>
      </c>
      <c r="BN9" s="27">
        <v>0</v>
      </c>
      <c r="BO9" s="27">
        <v>1</v>
      </c>
    </row>
    <row r="10" spans="1:69" s="140" customFormat="1" ht="13" x14ac:dyDescent="0.25">
      <c r="A10" s="57" t="s">
        <v>277</v>
      </c>
      <c r="B10" s="58" t="s">
        <v>351</v>
      </c>
      <c r="C10" s="58" t="s">
        <v>116</v>
      </c>
      <c r="D10" s="57" t="s">
        <v>107</v>
      </c>
      <c r="E10" s="57" t="s">
        <v>277</v>
      </c>
      <c r="F10" s="57" t="s">
        <v>132</v>
      </c>
      <c r="G10" s="128" t="s">
        <v>275</v>
      </c>
      <c r="H10" s="128"/>
      <c r="I10" s="128"/>
      <c r="J10" s="58">
        <v>0</v>
      </c>
      <c r="K10" s="58">
        <v>0</v>
      </c>
      <c r="L10" s="58">
        <v>0</v>
      </c>
      <c r="M10" s="58">
        <v>0</v>
      </c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2</v>
      </c>
      <c r="X10" s="58">
        <v>0</v>
      </c>
      <c r="Y10" s="58">
        <v>34</v>
      </c>
      <c r="Z10" s="58">
        <v>0</v>
      </c>
      <c r="AA10" s="58">
        <v>0</v>
      </c>
      <c r="AB10" s="58">
        <v>0</v>
      </c>
      <c r="AC10" s="58">
        <v>0</v>
      </c>
      <c r="AD10" s="126">
        <v>0</v>
      </c>
      <c r="AE10" s="126">
        <v>34</v>
      </c>
      <c r="AF10" s="126"/>
      <c r="AG10" s="126"/>
      <c r="AH10" s="126"/>
      <c r="AI10" s="126">
        <v>34</v>
      </c>
      <c r="AJ10" s="126"/>
      <c r="AK10" s="126">
        <v>0</v>
      </c>
      <c r="AL10" s="126">
        <v>0</v>
      </c>
      <c r="AM10" s="126">
        <v>2</v>
      </c>
      <c r="AN10" s="126">
        <v>0</v>
      </c>
      <c r="AO10" s="126">
        <v>34</v>
      </c>
      <c r="AP10" s="126">
        <v>0</v>
      </c>
      <c r="AQ10" s="126">
        <v>0</v>
      </c>
      <c r="AR10" s="126">
        <v>0</v>
      </c>
      <c r="AS10" s="126">
        <v>0</v>
      </c>
      <c r="AT10" s="126">
        <v>2</v>
      </c>
      <c r="AU10" s="126">
        <v>34</v>
      </c>
      <c r="AV10" s="126">
        <v>0</v>
      </c>
      <c r="AW10" s="126"/>
      <c r="AX10" s="126"/>
      <c r="AY10" s="126">
        <f t="shared" si="13"/>
        <v>34</v>
      </c>
      <c r="AZ10" s="127"/>
      <c r="BA10" s="127"/>
      <c r="BB10" s="2"/>
      <c r="BC10" s="27">
        <v>0</v>
      </c>
      <c r="BD10" s="27">
        <f t="shared" si="15"/>
        <v>0</v>
      </c>
      <c r="BE10" s="27"/>
      <c r="BF10" s="27">
        <f t="shared" si="16"/>
        <v>1</v>
      </c>
      <c r="BG10" s="27"/>
      <c r="BH10" s="27">
        <v>0</v>
      </c>
      <c r="BI10" s="27">
        <v>0</v>
      </c>
      <c r="BJ10" s="27">
        <v>0</v>
      </c>
      <c r="BK10" s="27"/>
      <c r="BL10" s="27"/>
      <c r="BM10" s="27">
        <v>0</v>
      </c>
      <c r="BN10" s="27">
        <v>0</v>
      </c>
      <c r="BO10" s="27">
        <v>1</v>
      </c>
    </row>
    <row r="11" spans="1:69" s="9" customFormat="1" ht="13" customHeight="1" x14ac:dyDescent="0.25">
      <c r="A11" s="170" t="s">
        <v>286</v>
      </c>
      <c r="B11" s="11" t="s">
        <v>352</v>
      </c>
      <c r="C11" s="58" t="s">
        <v>116</v>
      </c>
      <c r="D11" s="128" t="s">
        <v>107</v>
      </c>
      <c r="E11" s="170" t="s">
        <v>286</v>
      </c>
      <c r="F11" s="170" t="s">
        <v>227</v>
      </c>
      <c r="G11" s="170" t="s">
        <v>287</v>
      </c>
      <c r="H11" s="170"/>
      <c r="I11" s="170"/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  <c r="W11" s="126">
        <v>1</v>
      </c>
      <c r="X11" s="126">
        <v>0</v>
      </c>
      <c r="Y11" s="126">
        <v>16</v>
      </c>
      <c r="Z11" s="126">
        <v>0</v>
      </c>
      <c r="AA11" s="126">
        <v>0</v>
      </c>
      <c r="AB11" s="126">
        <v>0</v>
      </c>
      <c r="AC11" s="126">
        <v>0</v>
      </c>
      <c r="AD11" s="126">
        <v>0</v>
      </c>
      <c r="AE11" s="126">
        <v>16</v>
      </c>
      <c r="AF11" s="170"/>
      <c r="AG11" s="170"/>
      <c r="AH11" s="170"/>
      <c r="AI11" s="126">
        <f t="shared" si="7"/>
        <v>16</v>
      </c>
      <c r="AJ11" s="170"/>
      <c r="AK11" s="126">
        <f t="shared" ref="AK11:AS16" si="23">IF(J11&lt;&gt;0,IF(I11="Y",IF(AO11&lt;&gt;0,1,0),0),0)</f>
        <v>0</v>
      </c>
      <c r="AL11" s="126">
        <f t="shared" si="23"/>
        <v>0</v>
      </c>
      <c r="AM11" s="126">
        <v>1</v>
      </c>
      <c r="AN11" s="126">
        <f t="shared" si="23"/>
        <v>0</v>
      </c>
      <c r="AO11" s="126">
        <v>16</v>
      </c>
      <c r="AP11" s="126">
        <f t="shared" si="23"/>
        <v>0</v>
      </c>
      <c r="AQ11" s="126">
        <f t="shared" si="23"/>
        <v>0</v>
      </c>
      <c r="AR11" s="126">
        <f t="shared" si="23"/>
        <v>0</v>
      </c>
      <c r="AS11" s="126">
        <f t="shared" si="23"/>
        <v>0</v>
      </c>
      <c r="AT11" s="11">
        <v>1</v>
      </c>
      <c r="AU11" s="126">
        <v>16</v>
      </c>
      <c r="AV11" s="126">
        <v>0</v>
      </c>
      <c r="AW11" s="170"/>
      <c r="AX11" s="170"/>
      <c r="AY11" s="126">
        <f t="shared" si="13"/>
        <v>16</v>
      </c>
      <c r="AZ11" s="170"/>
      <c r="BA11" s="170"/>
      <c r="BC11" s="27">
        <f t="shared" ref="BC11:BC39" si="24">IF(AB11&lt;&gt;0,IF(AA11="Y",IF(BG11&lt;&gt;0,1,0),0),0)</f>
        <v>0</v>
      </c>
      <c r="BD11" s="27">
        <f t="shared" si="15"/>
        <v>0</v>
      </c>
      <c r="BF11" s="27">
        <f t="shared" si="16"/>
        <v>1</v>
      </c>
      <c r="BH11" s="27">
        <f t="shared" ref="BH11:BJ16" si="25">Z11+AA11</f>
        <v>0</v>
      </c>
      <c r="BI11" s="27">
        <f t="shared" si="25"/>
        <v>0</v>
      </c>
      <c r="BJ11" s="27">
        <f t="shared" si="25"/>
        <v>0</v>
      </c>
      <c r="BM11" s="27">
        <v>0</v>
      </c>
      <c r="BN11" s="27">
        <f t="shared" ref="BN11:BO16" si="26">AF11+AG11</f>
        <v>0</v>
      </c>
      <c r="BO11" s="27">
        <f t="shared" si="26"/>
        <v>0</v>
      </c>
    </row>
    <row r="12" spans="1:69" s="9" customFormat="1" ht="13" customHeight="1" x14ac:dyDescent="0.25">
      <c r="A12" s="170" t="s">
        <v>286</v>
      </c>
      <c r="B12" s="11" t="s">
        <v>352</v>
      </c>
      <c r="C12" s="58" t="s">
        <v>116</v>
      </c>
      <c r="D12" s="128" t="s">
        <v>107</v>
      </c>
      <c r="E12" s="170" t="s">
        <v>286</v>
      </c>
      <c r="F12" s="170" t="s">
        <v>288</v>
      </c>
      <c r="G12" s="170" t="s">
        <v>289</v>
      </c>
      <c r="H12" s="170"/>
      <c r="I12" s="170"/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  <c r="W12" s="126">
        <v>1</v>
      </c>
      <c r="X12" s="126">
        <v>0</v>
      </c>
      <c r="Y12" s="126">
        <v>16</v>
      </c>
      <c r="Z12" s="126">
        <v>0</v>
      </c>
      <c r="AA12" s="126">
        <v>0</v>
      </c>
      <c r="AB12" s="126">
        <v>0</v>
      </c>
      <c r="AC12" s="126">
        <v>0</v>
      </c>
      <c r="AD12" s="126">
        <v>0</v>
      </c>
      <c r="AE12" s="126">
        <v>16</v>
      </c>
      <c r="AF12" s="170"/>
      <c r="AG12" s="170"/>
      <c r="AH12" s="170"/>
      <c r="AI12" s="126">
        <f t="shared" si="7"/>
        <v>16</v>
      </c>
      <c r="AJ12" s="170"/>
      <c r="AK12" s="126">
        <f t="shared" si="23"/>
        <v>0</v>
      </c>
      <c r="AL12" s="126">
        <f t="shared" si="23"/>
        <v>0</v>
      </c>
      <c r="AM12" s="126">
        <v>1</v>
      </c>
      <c r="AN12" s="126">
        <f t="shared" si="23"/>
        <v>0</v>
      </c>
      <c r="AO12" s="126">
        <v>16</v>
      </c>
      <c r="AP12" s="126">
        <f t="shared" si="23"/>
        <v>0</v>
      </c>
      <c r="AQ12" s="126">
        <f t="shared" si="23"/>
        <v>0</v>
      </c>
      <c r="AR12" s="126">
        <f t="shared" si="23"/>
        <v>0</v>
      </c>
      <c r="AS12" s="126">
        <f t="shared" si="23"/>
        <v>0</v>
      </c>
      <c r="AT12" s="11">
        <v>1</v>
      </c>
      <c r="AU12" s="126">
        <v>16</v>
      </c>
      <c r="AV12" s="126">
        <v>0</v>
      </c>
      <c r="AW12" s="170"/>
      <c r="AX12" s="170"/>
      <c r="AY12" s="126">
        <f t="shared" si="13"/>
        <v>16</v>
      </c>
      <c r="AZ12" s="170"/>
      <c r="BA12" s="170"/>
      <c r="BC12" s="27">
        <f t="shared" si="24"/>
        <v>0</v>
      </c>
      <c r="BD12" s="27">
        <f t="shared" si="15"/>
        <v>0</v>
      </c>
      <c r="BF12" s="27">
        <f t="shared" si="16"/>
        <v>1</v>
      </c>
      <c r="BH12" s="27">
        <f t="shared" si="25"/>
        <v>0</v>
      </c>
      <c r="BI12" s="27">
        <f t="shared" si="25"/>
        <v>0</v>
      </c>
      <c r="BJ12" s="27">
        <f t="shared" si="25"/>
        <v>0</v>
      </c>
      <c r="BM12" s="27">
        <v>0</v>
      </c>
      <c r="BN12" s="27">
        <f t="shared" si="26"/>
        <v>0</v>
      </c>
      <c r="BO12" s="27">
        <f t="shared" si="26"/>
        <v>0</v>
      </c>
    </row>
    <row r="13" spans="1:69" s="9" customFormat="1" ht="13" customHeight="1" x14ac:dyDescent="0.25">
      <c r="A13" s="170" t="s">
        <v>286</v>
      </c>
      <c r="B13" s="11" t="s">
        <v>352</v>
      </c>
      <c r="C13" s="58" t="s">
        <v>116</v>
      </c>
      <c r="D13" s="128" t="s">
        <v>107</v>
      </c>
      <c r="E13" s="170" t="s">
        <v>286</v>
      </c>
      <c r="F13" s="170" t="s">
        <v>158</v>
      </c>
      <c r="G13" s="170" t="s">
        <v>290</v>
      </c>
      <c r="H13" s="170"/>
      <c r="I13" s="170"/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  <c r="W13" s="126">
        <v>1</v>
      </c>
      <c r="X13" s="126">
        <v>0</v>
      </c>
      <c r="Y13" s="126">
        <v>16</v>
      </c>
      <c r="Z13" s="126">
        <v>0</v>
      </c>
      <c r="AA13" s="126">
        <v>0</v>
      </c>
      <c r="AB13" s="126">
        <v>0</v>
      </c>
      <c r="AC13" s="126">
        <v>0</v>
      </c>
      <c r="AD13" s="126">
        <v>0</v>
      </c>
      <c r="AE13" s="126">
        <v>16</v>
      </c>
      <c r="AF13" s="170"/>
      <c r="AG13" s="170"/>
      <c r="AH13" s="170"/>
      <c r="AI13" s="126">
        <f t="shared" si="7"/>
        <v>16</v>
      </c>
      <c r="AJ13" s="170"/>
      <c r="AK13" s="126">
        <f t="shared" si="23"/>
        <v>0</v>
      </c>
      <c r="AL13" s="126">
        <f t="shared" si="23"/>
        <v>0</v>
      </c>
      <c r="AM13" s="126">
        <v>1</v>
      </c>
      <c r="AN13" s="126">
        <f t="shared" si="23"/>
        <v>0</v>
      </c>
      <c r="AO13" s="126">
        <v>16</v>
      </c>
      <c r="AP13" s="126">
        <f t="shared" si="23"/>
        <v>0</v>
      </c>
      <c r="AQ13" s="126">
        <f t="shared" si="23"/>
        <v>0</v>
      </c>
      <c r="AR13" s="126">
        <f t="shared" si="23"/>
        <v>0</v>
      </c>
      <c r="AS13" s="126">
        <f t="shared" si="23"/>
        <v>0</v>
      </c>
      <c r="AT13" s="11">
        <v>1</v>
      </c>
      <c r="AU13" s="126">
        <v>16</v>
      </c>
      <c r="AV13" s="126">
        <v>0</v>
      </c>
      <c r="AW13" s="170"/>
      <c r="AX13" s="170"/>
      <c r="AY13" s="126">
        <f t="shared" si="13"/>
        <v>16</v>
      </c>
      <c r="AZ13" s="170"/>
      <c r="BA13" s="170"/>
      <c r="BC13" s="27">
        <f t="shared" si="24"/>
        <v>0</v>
      </c>
      <c r="BD13" s="27">
        <f t="shared" si="15"/>
        <v>0</v>
      </c>
      <c r="BF13" s="27">
        <f t="shared" si="16"/>
        <v>1</v>
      </c>
      <c r="BH13" s="27">
        <f t="shared" si="25"/>
        <v>0</v>
      </c>
      <c r="BI13" s="27">
        <f t="shared" si="25"/>
        <v>0</v>
      </c>
      <c r="BJ13" s="27">
        <f t="shared" si="25"/>
        <v>0</v>
      </c>
      <c r="BM13" s="27">
        <v>0</v>
      </c>
      <c r="BN13" s="27">
        <f t="shared" si="26"/>
        <v>0</v>
      </c>
      <c r="BO13" s="27">
        <f t="shared" si="26"/>
        <v>0</v>
      </c>
    </row>
    <row r="14" spans="1:69" s="7" customFormat="1" ht="13" customHeight="1" x14ac:dyDescent="0.25">
      <c r="A14" s="170" t="s">
        <v>286</v>
      </c>
      <c r="B14" s="11" t="s">
        <v>353</v>
      </c>
      <c r="C14" s="58" t="s">
        <v>116</v>
      </c>
      <c r="D14" s="128" t="s">
        <v>107</v>
      </c>
      <c r="E14" s="170" t="s">
        <v>286</v>
      </c>
      <c r="F14" s="170" t="s">
        <v>49</v>
      </c>
      <c r="G14" s="170" t="s">
        <v>291</v>
      </c>
      <c r="H14" s="170"/>
      <c r="I14" s="170"/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126">
        <v>1</v>
      </c>
      <c r="X14" s="126">
        <v>0</v>
      </c>
      <c r="Y14" s="126">
        <v>16</v>
      </c>
      <c r="Z14" s="126">
        <v>0</v>
      </c>
      <c r="AA14" s="126">
        <v>0</v>
      </c>
      <c r="AB14" s="126">
        <v>0</v>
      </c>
      <c r="AC14" s="126">
        <v>0</v>
      </c>
      <c r="AD14" s="126">
        <v>0</v>
      </c>
      <c r="AE14" s="126">
        <v>16</v>
      </c>
      <c r="AF14" s="170"/>
      <c r="AG14" s="170"/>
      <c r="AH14" s="170"/>
      <c r="AI14" s="126">
        <f t="shared" si="7"/>
        <v>16</v>
      </c>
      <c r="AJ14" s="170"/>
      <c r="AK14" s="126">
        <f t="shared" si="23"/>
        <v>0</v>
      </c>
      <c r="AL14" s="126">
        <f t="shared" si="23"/>
        <v>0</v>
      </c>
      <c r="AM14" s="126">
        <v>1</v>
      </c>
      <c r="AN14" s="126">
        <f t="shared" si="23"/>
        <v>0</v>
      </c>
      <c r="AO14" s="126">
        <v>16</v>
      </c>
      <c r="AP14" s="126">
        <f t="shared" si="23"/>
        <v>0</v>
      </c>
      <c r="AQ14" s="126">
        <f t="shared" si="23"/>
        <v>0</v>
      </c>
      <c r="AR14" s="126">
        <f t="shared" si="23"/>
        <v>0</v>
      </c>
      <c r="AS14" s="126">
        <f t="shared" si="23"/>
        <v>0</v>
      </c>
      <c r="AT14" s="11">
        <v>1</v>
      </c>
      <c r="AU14" s="126">
        <v>16</v>
      </c>
      <c r="AV14" s="126">
        <v>0</v>
      </c>
      <c r="AW14" s="170"/>
      <c r="AX14" s="170"/>
      <c r="AY14" s="126">
        <f t="shared" si="13"/>
        <v>16</v>
      </c>
      <c r="AZ14" s="170"/>
      <c r="BA14" s="170"/>
      <c r="BC14" s="27">
        <f t="shared" si="24"/>
        <v>0</v>
      </c>
      <c r="BD14" s="27">
        <f t="shared" si="15"/>
        <v>0</v>
      </c>
      <c r="BF14" s="27">
        <f t="shared" si="16"/>
        <v>1</v>
      </c>
      <c r="BH14" s="27">
        <f t="shared" si="25"/>
        <v>0</v>
      </c>
      <c r="BI14" s="27">
        <f t="shared" si="25"/>
        <v>0</v>
      </c>
      <c r="BJ14" s="27">
        <f t="shared" si="25"/>
        <v>0</v>
      </c>
      <c r="BM14" s="27">
        <f t="shared" ref="BM14:BM16" si="27">AE14+AF14</f>
        <v>16</v>
      </c>
      <c r="BN14" s="27">
        <f t="shared" si="26"/>
        <v>0</v>
      </c>
      <c r="BO14" s="27">
        <v>1</v>
      </c>
    </row>
    <row r="15" spans="1:69" s="7" customFormat="1" ht="13" customHeight="1" x14ac:dyDescent="0.25">
      <c r="A15" s="170" t="s">
        <v>286</v>
      </c>
      <c r="B15" s="11" t="s">
        <v>353</v>
      </c>
      <c r="C15" s="58" t="s">
        <v>116</v>
      </c>
      <c r="D15" s="128" t="s">
        <v>107</v>
      </c>
      <c r="E15" s="170" t="s">
        <v>286</v>
      </c>
      <c r="F15" s="170" t="s">
        <v>276</v>
      </c>
      <c r="G15" s="170" t="s">
        <v>292</v>
      </c>
      <c r="H15" s="170"/>
      <c r="I15" s="170"/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  <c r="U15" s="126">
        <v>0</v>
      </c>
      <c r="V15" s="126">
        <v>0</v>
      </c>
      <c r="W15" s="126">
        <v>1</v>
      </c>
      <c r="X15" s="126">
        <v>0</v>
      </c>
      <c r="Y15" s="126">
        <v>16</v>
      </c>
      <c r="Z15" s="126">
        <v>0</v>
      </c>
      <c r="AA15" s="126">
        <v>0</v>
      </c>
      <c r="AB15" s="126">
        <v>0</v>
      </c>
      <c r="AC15" s="126">
        <v>0</v>
      </c>
      <c r="AD15" s="126">
        <v>0</v>
      </c>
      <c r="AE15" s="126">
        <v>16</v>
      </c>
      <c r="AF15" s="170"/>
      <c r="AG15" s="170"/>
      <c r="AH15" s="170"/>
      <c r="AI15" s="126">
        <f t="shared" si="7"/>
        <v>16</v>
      </c>
      <c r="AJ15" s="170"/>
      <c r="AK15" s="126">
        <f t="shared" si="23"/>
        <v>0</v>
      </c>
      <c r="AL15" s="126">
        <f t="shared" si="23"/>
        <v>0</v>
      </c>
      <c r="AM15" s="126">
        <v>1</v>
      </c>
      <c r="AN15" s="126">
        <f t="shared" si="23"/>
        <v>0</v>
      </c>
      <c r="AO15" s="126">
        <v>16</v>
      </c>
      <c r="AP15" s="126">
        <f t="shared" si="23"/>
        <v>0</v>
      </c>
      <c r="AQ15" s="126">
        <f t="shared" si="23"/>
        <v>0</v>
      </c>
      <c r="AR15" s="126">
        <f t="shared" si="23"/>
        <v>0</v>
      </c>
      <c r="AS15" s="126">
        <f t="shared" si="23"/>
        <v>0</v>
      </c>
      <c r="AT15" s="11">
        <v>1</v>
      </c>
      <c r="AU15" s="126">
        <v>16</v>
      </c>
      <c r="AV15" s="126">
        <v>0</v>
      </c>
      <c r="AW15" s="170"/>
      <c r="AX15" s="170"/>
      <c r="AY15" s="126">
        <f t="shared" si="13"/>
        <v>16</v>
      </c>
      <c r="AZ15" s="170"/>
      <c r="BA15" s="170"/>
      <c r="BC15" s="27">
        <f t="shared" si="24"/>
        <v>0</v>
      </c>
      <c r="BD15" s="27">
        <f t="shared" si="15"/>
        <v>0</v>
      </c>
      <c r="BF15" s="27">
        <f t="shared" si="16"/>
        <v>1</v>
      </c>
      <c r="BH15" s="27">
        <f t="shared" si="25"/>
        <v>0</v>
      </c>
      <c r="BI15" s="27">
        <f t="shared" si="25"/>
        <v>0</v>
      </c>
      <c r="BJ15" s="27">
        <f t="shared" si="25"/>
        <v>0</v>
      </c>
      <c r="BM15" s="27">
        <f t="shared" si="27"/>
        <v>16</v>
      </c>
      <c r="BN15" s="27">
        <f t="shared" si="26"/>
        <v>0</v>
      </c>
      <c r="BO15" s="27">
        <v>1</v>
      </c>
    </row>
    <row r="16" spans="1:69" s="7" customFormat="1" ht="13" customHeight="1" x14ac:dyDescent="0.25">
      <c r="A16" s="170" t="s">
        <v>286</v>
      </c>
      <c r="B16" s="11" t="s">
        <v>353</v>
      </c>
      <c r="C16" s="58" t="s">
        <v>116</v>
      </c>
      <c r="D16" s="128" t="s">
        <v>107</v>
      </c>
      <c r="E16" s="170" t="s">
        <v>286</v>
      </c>
      <c r="F16" s="170" t="s">
        <v>159</v>
      </c>
      <c r="G16" s="170" t="s">
        <v>293</v>
      </c>
      <c r="H16" s="170"/>
      <c r="I16" s="170"/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1</v>
      </c>
      <c r="X16" s="126">
        <v>0</v>
      </c>
      <c r="Y16" s="126">
        <v>16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16</v>
      </c>
      <c r="AF16" s="170"/>
      <c r="AG16" s="170"/>
      <c r="AH16" s="170"/>
      <c r="AI16" s="126">
        <f t="shared" si="7"/>
        <v>16</v>
      </c>
      <c r="AJ16" s="170"/>
      <c r="AK16" s="126">
        <f t="shared" si="23"/>
        <v>0</v>
      </c>
      <c r="AL16" s="126">
        <f t="shared" si="23"/>
        <v>0</v>
      </c>
      <c r="AM16" s="126">
        <v>1</v>
      </c>
      <c r="AN16" s="126">
        <f t="shared" si="23"/>
        <v>0</v>
      </c>
      <c r="AO16" s="126">
        <v>16</v>
      </c>
      <c r="AP16" s="126">
        <f t="shared" si="23"/>
        <v>0</v>
      </c>
      <c r="AQ16" s="126">
        <f t="shared" si="23"/>
        <v>0</v>
      </c>
      <c r="AR16" s="126">
        <f t="shared" si="23"/>
        <v>0</v>
      </c>
      <c r="AS16" s="126">
        <f t="shared" si="23"/>
        <v>0</v>
      </c>
      <c r="AT16" s="11">
        <v>1</v>
      </c>
      <c r="AU16" s="126">
        <v>16</v>
      </c>
      <c r="AV16" s="126">
        <v>0</v>
      </c>
      <c r="AW16" s="170"/>
      <c r="AX16" s="170"/>
      <c r="AY16" s="126">
        <f t="shared" si="13"/>
        <v>16</v>
      </c>
      <c r="AZ16" s="170"/>
      <c r="BA16" s="170"/>
      <c r="BC16" s="27">
        <f t="shared" si="24"/>
        <v>0</v>
      </c>
      <c r="BD16" s="27">
        <f t="shared" si="15"/>
        <v>0</v>
      </c>
      <c r="BF16" s="27">
        <f t="shared" si="16"/>
        <v>1</v>
      </c>
      <c r="BH16" s="27">
        <f t="shared" si="25"/>
        <v>0</v>
      </c>
      <c r="BI16" s="27">
        <f t="shared" si="25"/>
        <v>0</v>
      </c>
      <c r="BJ16" s="27">
        <f t="shared" si="25"/>
        <v>0</v>
      </c>
      <c r="BM16" s="27">
        <f t="shared" si="27"/>
        <v>16</v>
      </c>
      <c r="BN16" s="27">
        <f t="shared" si="26"/>
        <v>0</v>
      </c>
      <c r="BO16" s="27">
        <v>1</v>
      </c>
    </row>
    <row r="17" spans="1:67" x14ac:dyDescent="0.25">
      <c r="A17" s="170" t="s">
        <v>295</v>
      </c>
      <c r="B17" s="11" t="s">
        <v>350</v>
      </c>
      <c r="C17" s="126" t="s">
        <v>116</v>
      </c>
      <c r="D17" s="128" t="s">
        <v>21</v>
      </c>
      <c r="E17" s="170" t="s">
        <v>295</v>
      </c>
      <c r="F17" s="170" t="s">
        <v>296</v>
      </c>
      <c r="G17" s="170" t="s">
        <v>297</v>
      </c>
      <c r="H17" s="171"/>
      <c r="I17" s="171"/>
      <c r="J17" s="126">
        <v>0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  <c r="U17" s="94">
        <v>0</v>
      </c>
      <c r="V17" s="94">
        <v>0</v>
      </c>
      <c r="W17" s="94">
        <v>3</v>
      </c>
      <c r="X17" s="94">
        <v>0</v>
      </c>
      <c r="Y17" s="94">
        <v>60</v>
      </c>
      <c r="Z17" s="126">
        <v>0</v>
      </c>
      <c r="AA17" s="126">
        <v>0</v>
      </c>
      <c r="AB17" s="126">
        <v>0</v>
      </c>
      <c r="AC17" s="126">
        <v>0</v>
      </c>
      <c r="AD17" s="126">
        <v>0</v>
      </c>
      <c r="AE17" s="126">
        <v>60</v>
      </c>
      <c r="AF17" s="171"/>
      <c r="AG17" s="171"/>
      <c r="AH17" s="171"/>
      <c r="AI17" s="126">
        <v>60</v>
      </c>
      <c r="AJ17" s="171"/>
      <c r="AK17" s="94">
        <v>0</v>
      </c>
      <c r="AL17" s="94">
        <v>0</v>
      </c>
      <c r="AM17" s="94">
        <v>3</v>
      </c>
      <c r="AN17" s="94">
        <v>0</v>
      </c>
      <c r="AO17" s="94">
        <v>60</v>
      </c>
      <c r="AP17" s="126">
        <v>0</v>
      </c>
      <c r="AQ17" s="126">
        <v>0</v>
      </c>
      <c r="AR17" s="126">
        <v>0</v>
      </c>
      <c r="AS17" s="126">
        <v>0</v>
      </c>
      <c r="AT17" s="167">
        <v>3</v>
      </c>
      <c r="AU17" s="126">
        <v>60</v>
      </c>
      <c r="AV17" s="126">
        <v>0</v>
      </c>
      <c r="AW17" s="171"/>
      <c r="AX17" s="171"/>
      <c r="AY17" s="126">
        <f t="shared" si="13"/>
        <v>60</v>
      </c>
      <c r="AZ17" s="171"/>
      <c r="BA17" s="171"/>
      <c r="BC17" s="27">
        <f t="shared" si="24"/>
        <v>0</v>
      </c>
      <c r="BD17" s="27">
        <f t="shared" si="15"/>
        <v>0</v>
      </c>
      <c r="BF17" s="27">
        <f t="shared" si="16"/>
        <v>1</v>
      </c>
      <c r="BH17" s="27">
        <f t="shared" ref="BH17:BJ32" si="28">IF(AG17&lt;&gt;0,IF(AF17="Y",IF(BL17&lt;&gt;0,1,0),0),0)</f>
        <v>0</v>
      </c>
      <c r="BI17" s="27">
        <f t="shared" si="28"/>
        <v>0</v>
      </c>
      <c r="BJ17" s="27">
        <f t="shared" si="28"/>
        <v>0</v>
      </c>
      <c r="BM17" s="27">
        <f t="shared" ref="BM17:BO32" si="29">IF(AL17&lt;&gt;0,IF(AK17="Y",IF(BQ17&lt;&gt;0,1,0),0),0)</f>
        <v>0</v>
      </c>
      <c r="BN17" s="27">
        <f t="shared" si="29"/>
        <v>0</v>
      </c>
      <c r="BO17" s="27">
        <v>0</v>
      </c>
    </row>
    <row r="18" spans="1:67" x14ac:dyDescent="0.25">
      <c r="A18" s="170" t="s">
        <v>295</v>
      </c>
      <c r="B18" s="11" t="s">
        <v>350</v>
      </c>
      <c r="C18" s="126" t="s">
        <v>116</v>
      </c>
      <c r="D18" s="128" t="s">
        <v>107</v>
      </c>
      <c r="E18" s="170" t="s">
        <v>295</v>
      </c>
      <c r="F18" s="170" t="s">
        <v>303</v>
      </c>
      <c r="G18" s="170" t="s">
        <v>298</v>
      </c>
      <c r="H18" s="171"/>
      <c r="I18" s="171"/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94">
        <v>0</v>
      </c>
      <c r="V18" s="94">
        <v>0</v>
      </c>
      <c r="W18" s="94">
        <v>3</v>
      </c>
      <c r="X18" s="94">
        <v>0</v>
      </c>
      <c r="Y18" s="94">
        <v>60</v>
      </c>
      <c r="Z18" s="126">
        <v>0</v>
      </c>
      <c r="AA18" s="126">
        <v>0</v>
      </c>
      <c r="AB18" s="126">
        <v>0</v>
      </c>
      <c r="AC18" s="126">
        <v>0</v>
      </c>
      <c r="AD18" s="126">
        <v>0</v>
      </c>
      <c r="AE18" s="126">
        <v>60</v>
      </c>
      <c r="AF18" s="171"/>
      <c r="AG18" s="171"/>
      <c r="AH18" s="171"/>
      <c r="AI18" s="126">
        <v>60</v>
      </c>
      <c r="AJ18" s="171"/>
      <c r="AK18" s="94">
        <v>0</v>
      </c>
      <c r="AL18" s="94">
        <v>0</v>
      </c>
      <c r="AM18" s="94">
        <v>3</v>
      </c>
      <c r="AN18" s="94">
        <v>0</v>
      </c>
      <c r="AO18" s="94">
        <v>60</v>
      </c>
      <c r="AP18" s="126">
        <v>0</v>
      </c>
      <c r="AQ18" s="126">
        <v>0</v>
      </c>
      <c r="AR18" s="126">
        <v>0</v>
      </c>
      <c r="AS18" s="126">
        <v>0</v>
      </c>
      <c r="AT18" s="167">
        <v>3</v>
      </c>
      <c r="AU18" s="126">
        <v>60</v>
      </c>
      <c r="AV18" s="126">
        <v>0</v>
      </c>
      <c r="AW18" s="171"/>
      <c r="AX18" s="171"/>
      <c r="AY18" s="126">
        <f t="shared" si="13"/>
        <v>60</v>
      </c>
      <c r="AZ18" s="171"/>
      <c r="BA18" s="171"/>
      <c r="BC18" s="27">
        <f t="shared" si="24"/>
        <v>0</v>
      </c>
      <c r="BD18" s="27">
        <f t="shared" si="15"/>
        <v>0</v>
      </c>
      <c r="BF18" s="27">
        <f t="shared" si="16"/>
        <v>1</v>
      </c>
      <c r="BH18" s="27">
        <f t="shared" si="28"/>
        <v>0</v>
      </c>
      <c r="BI18" s="27">
        <f t="shared" si="28"/>
        <v>0</v>
      </c>
      <c r="BJ18" s="27">
        <f t="shared" si="28"/>
        <v>0</v>
      </c>
      <c r="BM18" s="27">
        <f t="shared" si="29"/>
        <v>0</v>
      </c>
      <c r="BN18" s="27">
        <f t="shared" si="29"/>
        <v>0</v>
      </c>
      <c r="BO18" s="27">
        <v>0</v>
      </c>
    </row>
    <row r="19" spans="1:67" x14ac:dyDescent="0.25">
      <c r="A19" s="170" t="s">
        <v>295</v>
      </c>
      <c r="B19" s="11" t="s">
        <v>351</v>
      </c>
      <c r="C19" s="126" t="s">
        <v>116</v>
      </c>
      <c r="D19" s="128" t="s">
        <v>107</v>
      </c>
      <c r="E19" s="170" t="s">
        <v>295</v>
      </c>
      <c r="F19" s="170" t="s">
        <v>299</v>
      </c>
      <c r="G19" s="170" t="s">
        <v>301</v>
      </c>
      <c r="H19" s="171"/>
      <c r="I19" s="171"/>
      <c r="J19" s="126">
        <v>0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  <c r="U19" s="94">
        <v>0</v>
      </c>
      <c r="V19" s="94">
        <v>0</v>
      </c>
      <c r="W19" s="94">
        <v>3</v>
      </c>
      <c r="X19" s="94">
        <v>0</v>
      </c>
      <c r="Y19" s="94">
        <v>60</v>
      </c>
      <c r="Z19" s="126">
        <v>0</v>
      </c>
      <c r="AA19" s="126">
        <v>0</v>
      </c>
      <c r="AB19" s="126">
        <v>0</v>
      </c>
      <c r="AC19" s="126">
        <v>0</v>
      </c>
      <c r="AD19" s="126">
        <v>0</v>
      </c>
      <c r="AE19" s="126">
        <v>60</v>
      </c>
      <c r="AF19" s="171"/>
      <c r="AG19" s="171"/>
      <c r="AH19" s="171"/>
      <c r="AI19" s="126">
        <v>60</v>
      </c>
      <c r="AJ19" s="171"/>
      <c r="AK19" s="94">
        <v>0</v>
      </c>
      <c r="AL19" s="94">
        <v>0</v>
      </c>
      <c r="AM19" s="94">
        <v>3</v>
      </c>
      <c r="AN19" s="94">
        <v>0</v>
      </c>
      <c r="AO19" s="94">
        <v>60</v>
      </c>
      <c r="AP19" s="126">
        <v>0</v>
      </c>
      <c r="AQ19" s="126">
        <v>0</v>
      </c>
      <c r="AR19" s="126">
        <v>0</v>
      </c>
      <c r="AS19" s="126">
        <v>0</v>
      </c>
      <c r="AT19" s="167">
        <v>3</v>
      </c>
      <c r="AU19" s="126">
        <v>60</v>
      </c>
      <c r="AV19" s="126">
        <v>0</v>
      </c>
      <c r="AW19" s="171"/>
      <c r="AX19" s="171"/>
      <c r="AY19" s="126">
        <v>60</v>
      </c>
      <c r="AZ19" s="171"/>
      <c r="BA19" s="171"/>
      <c r="BC19" s="27">
        <f t="shared" si="24"/>
        <v>0</v>
      </c>
      <c r="BD19" s="27">
        <f t="shared" si="15"/>
        <v>0</v>
      </c>
      <c r="BF19" s="27">
        <f t="shared" si="16"/>
        <v>1</v>
      </c>
      <c r="BH19" s="27">
        <f t="shared" si="28"/>
        <v>0</v>
      </c>
      <c r="BI19" s="27">
        <f t="shared" si="28"/>
        <v>0</v>
      </c>
      <c r="BJ19" s="27">
        <f t="shared" si="28"/>
        <v>0</v>
      </c>
      <c r="BM19" s="27">
        <f t="shared" si="29"/>
        <v>0</v>
      </c>
      <c r="BN19" s="27">
        <f t="shared" si="29"/>
        <v>0</v>
      </c>
      <c r="BO19" s="27">
        <v>1</v>
      </c>
    </row>
    <row r="20" spans="1:67" x14ac:dyDescent="0.25">
      <c r="A20" s="170" t="s">
        <v>295</v>
      </c>
      <c r="B20" s="11" t="s">
        <v>351</v>
      </c>
      <c r="C20" s="126" t="s">
        <v>116</v>
      </c>
      <c r="D20" s="128" t="s">
        <v>107</v>
      </c>
      <c r="E20" s="170" t="s">
        <v>295</v>
      </c>
      <c r="F20" s="170" t="s">
        <v>300</v>
      </c>
      <c r="G20" s="170" t="s">
        <v>337</v>
      </c>
      <c r="H20" s="171"/>
      <c r="I20" s="171"/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  <c r="U20" s="94">
        <v>0</v>
      </c>
      <c r="V20" s="94">
        <v>0</v>
      </c>
      <c r="W20" s="94">
        <v>3</v>
      </c>
      <c r="X20" s="94">
        <v>0</v>
      </c>
      <c r="Y20" s="94">
        <v>60</v>
      </c>
      <c r="Z20" s="126">
        <v>0</v>
      </c>
      <c r="AA20" s="126">
        <v>0</v>
      </c>
      <c r="AB20" s="126">
        <v>0</v>
      </c>
      <c r="AC20" s="126">
        <v>0</v>
      </c>
      <c r="AD20" s="126">
        <v>0</v>
      </c>
      <c r="AE20" s="126">
        <v>60</v>
      </c>
      <c r="AF20" s="171"/>
      <c r="AG20" s="171"/>
      <c r="AH20" s="171"/>
      <c r="AI20" s="126">
        <v>60</v>
      </c>
      <c r="AJ20" s="171"/>
      <c r="AK20" s="94">
        <v>0</v>
      </c>
      <c r="AL20" s="94">
        <v>0</v>
      </c>
      <c r="AM20" s="94">
        <v>3</v>
      </c>
      <c r="AN20" s="94">
        <v>0</v>
      </c>
      <c r="AO20" s="94">
        <v>60</v>
      </c>
      <c r="AP20" s="126">
        <v>0</v>
      </c>
      <c r="AQ20" s="126">
        <v>0</v>
      </c>
      <c r="AR20" s="126">
        <v>0</v>
      </c>
      <c r="AS20" s="126">
        <v>0</v>
      </c>
      <c r="AT20" s="167">
        <v>3</v>
      </c>
      <c r="AU20" s="126">
        <v>60</v>
      </c>
      <c r="AV20" s="126">
        <v>0</v>
      </c>
      <c r="AW20" s="171"/>
      <c r="AX20" s="171"/>
      <c r="AY20" s="126">
        <v>60</v>
      </c>
      <c r="AZ20" s="171"/>
      <c r="BA20" s="171"/>
      <c r="BC20" s="27">
        <f t="shared" si="24"/>
        <v>0</v>
      </c>
      <c r="BD20" s="27">
        <f t="shared" si="15"/>
        <v>0</v>
      </c>
      <c r="BF20" s="27">
        <f t="shared" si="16"/>
        <v>1</v>
      </c>
      <c r="BH20" s="27">
        <f t="shared" si="28"/>
        <v>0</v>
      </c>
      <c r="BI20" s="27">
        <f t="shared" si="28"/>
        <v>0</v>
      </c>
      <c r="BJ20" s="27">
        <f t="shared" si="28"/>
        <v>0</v>
      </c>
      <c r="BM20" s="27">
        <f t="shared" si="29"/>
        <v>0</v>
      </c>
      <c r="BN20" s="27">
        <f t="shared" si="29"/>
        <v>0</v>
      </c>
      <c r="BO20" s="27">
        <v>1</v>
      </c>
    </row>
    <row r="21" spans="1:67" s="140" customFormat="1" x14ac:dyDescent="0.25">
      <c r="A21" s="170" t="s">
        <v>302</v>
      </c>
      <c r="B21" s="11" t="s">
        <v>350</v>
      </c>
      <c r="C21" s="126" t="s">
        <v>116</v>
      </c>
      <c r="D21" s="128" t="s">
        <v>107</v>
      </c>
      <c r="E21" s="170" t="s">
        <v>302</v>
      </c>
      <c r="F21" s="194" t="s">
        <v>303</v>
      </c>
      <c r="G21" s="170" t="s">
        <v>298</v>
      </c>
      <c r="H21" s="195"/>
      <c r="I21" s="195"/>
      <c r="J21" s="126">
        <v>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  <c r="U21" s="126">
        <v>0</v>
      </c>
      <c r="V21" s="126">
        <v>0</v>
      </c>
      <c r="W21" s="126">
        <v>0</v>
      </c>
      <c r="X21" s="126">
        <v>0</v>
      </c>
      <c r="Y21" s="126">
        <v>0</v>
      </c>
      <c r="Z21" s="126">
        <v>0</v>
      </c>
      <c r="AA21" s="126">
        <v>0</v>
      </c>
      <c r="AB21" s="126">
        <v>0</v>
      </c>
      <c r="AC21" s="126">
        <v>0</v>
      </c>
      <c r="AD21" s="126">
        <v>0</v>
      </c>
      <c r="AE21" s="126">
        <v>0</v>
      </c>
      <c r="AF21" s="195"/>
      <c r="AG21" s="195"/>
      <c r="AH21" s="195"/>
      <c r="AI21" s="126">
        <v>0</v>
      </c>
      <c r="AJ21" s="195"/>
      <c r="AK21" s="126">
        <v>0</v>
      </c>
      <c r="AL21" s="126">
        <v>0</v>
      </c>
      <c r="AM21" s="126">
        <v>1</v>
      </c>
      <c r="AN21" s="126">
        <v>0</v>
      </c>
      <c r="AO21" s="126">
        <v>22</v>
      </c>
      <c r="AP21" s="126">
        <v>0</v>
      </c>
      <c r="AQ21" s="126">
        <v>0</v>
      </c>
      <c r="AR21" s="126">
        <v>0</v>
      </c>
      <c r="AS21" s="126">
        <v>0</v>
      </c>
      <c r="AT21" s="11">
        <v>1</v>
      </c>
      <c r="AU21" s="126">
        <v>22</v>
      </c>
      <c r="AV21" s="126">
        <v>0</v>
      </c>
      <c r="AW21" s="195"/>
      <c r="AX21" s="195"/>
      <c r="AY21" s="126">
        <f t="shared" si="13"/>
        <v>22</v>
      </c>
      <c r="AZ21" s="195"/>
      <c r="BA21" s="195"/>
      <c r="BC21" s="27">
        <f t="shared" si="24"/>
        <v>0</v>
      </c>
      <c r="BD21" s="27">
        <f t="shared" si="15"/>
        <v>0</v>
      </c>
      <c r="BF21" s="27">
        <f t="shared" si="16"/>
        <v>1</v>
      </c>
      <c r="BH21" s="27">
        <f t="shared" si="28"/>
        <v>0</v>
      </c>
      <c r="BI21" s="27">
        <f t="shared" si="28"/>
        <v>0</v>
      </c>
      <c r="BJ21" s="27">
        <f t="shared" si="28"/>
        <v>0</v>
      </c>
      <c r="BM21" s="27">
        <f t="shared" si="29"/>
        <v>0</v>
      </c>
      <c r="BN21" s="27">
        <f t="shared" si="29"/>
        <v>0</v>
      </c>
      <c r="BO21" s="27">
        <v>1</v>
      </c>
    </row>
    <row r="22" spans="1:67" s="140" customFormat="1" x14ac:dyDescent="0.25">
      <c r="A22" s="170" t="s">
        <v>302</v>
      </c>
      <c r="B22" s="11" t="s">
        <v>350</v>
      </c>
      <c r="C22" s="126" t="s">
        <v>116</v>
      </c>
      <c r="D22" s="128" t="s">
        <v>21</v>
      </c>
      <c r="E22" s="170" t="s">
        <v>302</v>
      </c>
      <c r="F22" s="194" t="s">
        <v>304</v>
      </c>
      <c r="G22" s="170" t="s">
        <v>297</v>
      </c>
      <c r="H22" s="195"/>
      <c r="I22" s="195"/>
      <c r="J22" s="126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  <c r="U22" s="126">
        <v>0</v>
      </c>
      <c r="V22" s="126">
        <v>0</v>
      </c>
      <c r="W22" s="126">
        <v>0</v>
      </c>
      <c r="X22" s="126">
        <v>0</v>
      </c>
      <c r="Y22" s="126">
        <v>0</v>
      </c>
      <c r="Z22" s="126">
        <v>0</v>
      </c>
      <c r="AA22" s="126">
        <v>0</v>
      </c>
      <c r="AB22" s="126">
        <v>0</v>
      </c>
      <c r="AC22" s="126">
        <v>0</v>
      </c>
      <c r="AD22" s="126">
        <v>0</v>
      </c>
      <c r="AE22" s="126">
        <v>0</v>
      </c>
      <c r="AF22" s="195"/>
      <c r="AG22" s="195"/>
      <c r="AH22" s="195"/>
      <c r="AI22" s="126">
        <v>0</v>
      </c>
      <c r="AJ22" s="195"/>
      <c r="AK22" s="126">
        <v>0</v>
      </c>
      <c r="AL22" s="126">
        <v>0</v>
      </c>
      <c r="AM22" s="126">
        <v>1</v>
      </c>
      <c r="AN22" s="126">
        <v>0</v>
      </c>
      <c r="AO22" s="126">
        <v>22</v>
      </c>
      <c r="AP22" s="126">
        <v>0</v>
      </c>
      <c r="AQ22" s="126">
        <v>0</v>
      </c>
      <c r="AR22" s="126">
        <v>0</v>
      </c>
      <c r="AS22" s="126">
        <v>0</v>
      </c>
      <c r="AT22" s="11">
        <v>1</v>
      </c>
      <c r="AU22" s="126">
        <v>22</v>
      </c>
      <c r="AV22" s="126">
        <v>0</v>
      </c>
      <c r="AW22" s="195"/>
      <c r="AX22" s="195"/>
      <c r="AY22" s="126">
        <f t="shared" si="13"/>
        <v>22</v>
      </c>
      <c r="AZ22" s="195"/>
      <c r="BA22" s="195"/>
      <c r="BC22" s="27">
        <f t="shared" si="24"/>
        <v>0</v>
      </c>
      <c r="BD22" s="27">
        <f t="shared" si="15"/>
        <v>0</v>
      </c>
      <c r="BF22" s="27">
        <f t="shared" si="16"/>
        <v>1</v>
      </c>
      <c r="BH22" s="27">
        <f t="shared" si="28"/>
        <v>0</v>
      </c>
      <c r="BI22" s="27">
        <f t="shared" si="28"/>
        <v>0</v>
      </c>
      <c r="BJ22" s="27">
        <f t="shared" si="28"/>
        <v>0</v>
      </c>
      <c r="BM22" s="27">
        <f t="shared" si="29"/>
        <v>0</v>
      </c>
      <c r="BN22" s="27">
        <f t="shared" si="29"/>
        <v>0</v>
      </c>
      <c r="BO22" s="27">
        <v>1</v>
      </c>
    </row>
    <row r="23" spans="1:67" s="140" customFormat="1" x14ac:dyDescent="0.25">
      <c r="A23" s="170" t="s">
        <v>302</v>
      </c>
      <c r="B23" s="11" t="s">
        <v>351</v>
      </c>
      <c r="C23" s="126" t="s">
        <v>116</v>
      </c>
      <c r="D23" s="128" t="s">
        <v>107</v>
      </c>
      <c r="E23" s="170" t="s">
        <v>302</v>
      </c>
      <c r="F23" s="194" t="s">
        <v>305</v>
      </c>
      <c r="G23" s="196" t="s">
        <v>310</v>
      </c>
      <c r="H23" s="195"/>
      <c r="I23" s="195"/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  <c r="U23" s="126">
        <v>0</v>
      </c>
      <c r="V23" s="126">
        <v>0</v>
      </c>
      <c r="W23" s="126">
        <v>1</v>
      </c>
      <c r="X23" s="126">
        <v>0</v>
      </c>
      <c r="Y23" s="126">
        <v>22</v>
      </c>
      <c r="Z23" s="126">
        <v>0</v>
      </c>
      <c r="AA23" s="126">
        <v>0</v>
      </c>
      <c r="AB23" s="126">
        <v>0</v>
      </c>
      <c r="AC23" s="126">
        <v>0</v>
      </c>
      <c r="AD23" s="126">
        <v>0</v>
      </c>
      <c r="AE23" s="126">
        <v>22</v>
      </c>
      <c r="AF23" s="195"/>
      <c r="AG23" s="195"/>
      <c r="AH23" s="195"/>
      <c r="AI23" s="126">
        <v>22</v>
      </c>
      <c r="AJ23" s="195"/>
      <c r="AK23" s="126">
        <v>0</v>
      </c>
      <c r="AL23" s="126">
        <v>0</v>
      </c>
      <c r="AM23" s="126">
        <v>1</v>
      </c>
      <c r="AN23" s="126">
        <v>0</v>
      </c>
      <c r="AO23" s="126">
        <v>22</v>
      </c>
      <c r="AP23" s="126">
        <v>0</v>
      </c>
      <c r="AQ23" s="126">
        <v>0</v>
      </c>
      <c r="AR23" s="126">
        <v>0</v>
      </c>
      <c r="AS23" s="126">
        <v>0</v>
      </c>
      <c r="AT23" s="11">
        <v>1</v>
      </c>
      <c r="AU23" s="126">
        <v>22</v>
      </c>
      <c r="AV23" s="126">
        <v>0</v>
      </c>
      <c r="AW23" s="195"/>
      <c r="AX23" s="195"/>
      <c r="AY23" s="126">
        <f t="shared" si="13"/>
        <v>22</v>
      </c>
      <c r="AZ23" s="195"/>
      <c r="BA23" s="195"/>
      <c r="BC23" s="27">
        <f t="shared" si="24"/>
        <v>0</v>
      </c>
      <c r="BD23" s="27">
        <f t="shared" si="15"/>
        <v>0</v>
      </c>
      <c r="BF23" s="27">
        <f t="shared" si="16"/>
        <v>1</v>
      </c>
      <c r="BH23" s="27">
        <f t="shared" si="28"/>
        <v>0</v>
      </c>
      <c r="BI23" s="27">
        <f t="shared" si="28"/>
        <v>0</v>
      </c>
      <c r="BJ23" s="27">
        <f t="shared" si="28"/>
        <v>0</v>
      </c>
      <c r="BM23" s="27">
        <f t="shared" si="29"/>
        <v>0</v>
      </c>
      <c r="BN23" s="27">
        <f t="shared" si="29"/>
        <v>0</v>
      </c>
      <c r="BO23" s="27">
        <f t="shared" si="29"/>
        <v>0</v>
      </c>
    </row>
    <row r="24" spans="1:67" s="140" customFormat="1" x14ac:dyDescent="0.25">
      <c r="A24" s="170" t="s">
        <v>302</v>
      </c>
      <c r="B24" s="11" t="s">
        <v>351</v>
      </c>
      <c r="C24" s="126" t="s">
        <v>116</v>
      </c>
      <c r="D24" s="128" t="s">
        <v>107</v>
      </c>
      <c r="E24" s="170" t="s">
        <v>302</v>
      </c>
      <c r="F24" s="194" t="s">
        <v>306</v>
      </c>
      <c r="G24" s="196" t="s">
        <v>311</v>
      </c>
      <c r="H24" s="195"/>
      <c r="I24" s="195"/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  <c r="U24" s="126">
        <v>0</v>
      </c>
      <c r="V24" s="126">
        <v>0</v>
      </c>
      <c r="W24" s="126">
        <v>1</v>
      </c>
      <c r="X24" s="126">
        <v>0</v>
      </c>
      <c r="Y24" s="126">
        <v>22</v>
      </c>
      <c r="Z24" s="126">
        <v>0</v>
      </c>
      <c r="AA24" s="126">
        <v>0</v>
      </c>
      <c r="AB24" s="126">
        <v>0</v>
      </c>
      <c r="AC24" s="126">
        <v>0</v>
      </c>
      <c r="AD24" s="126">
        <v>0</v>
      </c>
      <c r="AE24" s="126">
        <v>22</v>
      </c>
      <c r="AF24" s="195"/>
      <c r="AG24" s="195"/>
      <c r="AH24" s="195"/>
      <c r="AI24" s="126">
        <v>22</v>
      </c>
      <c r="AJ24" s="195"/>
      <c r="AK24" s="126">
        <v>0</v>
      </c>
      <c r="AL24" s="126">
        <v>0</v>
      </c>
      <c r="AM24" s="126">
        <v>1</v>
      </c>
      <c r="AN24" s="126">
        <v>0</v>
      </c>
      <c r="AO24" s="126">
        <v>22</v>
      </c>
      <c r="AP24" s="126">
        <v>0</v>
      </c>
      <c r="AQ24" s="126">
        <v>0</v>
      </c>
      <c r="AR24" s="126">
        <v>0</v>
      </c>
      <c r="AS24" s="126">
        <v>0</v>
      </c>
      <c r="AT24" s="11">
        <v>1</v>
      </c>
      <c r="AU24" s="126">
        <v>22</v>
      </c>
      <c r="AV24" s="126">
        <v>0</v>
      </c>
      <c r="AW24" s="195"/>
      <c r="AX24" s="195"/>
      <c r="AY24" s="126">
        <f t="shared" si="13"/>
        <v>22</v>
      </c>
      <c r="AZ24" s="195"/>
      <c r="BA24" s="195"/>
      <c r="BC24" s="27">
        <f t="shared" si="24"/>
        <v>0</v>
      </c>
      <c r="BD24" s="27">
        <f t="shared" si="15"/>
        <v>0</v>
      </c>
      <c r="BF24" s="27">
        <f t="shared" si="16"/>
        <v>1</v>
      </c>
      <c r="BH24" s="27">
        <f t="shared" si="28"/>
        <v>0</v>
      </c>
      <c r="BI24" s="27">
        <f t="shared" si="28"/>
        <v>0</v>
      </c>
      <c r="BJ24" s="27">
        <f t="shared" si="28"/>
        <v>0</v>
      </c>
      <c r="BM24" s="27">
        <f t="shared" si="29"/>
        <v>0</v>
      </c>
      <c r="BN24" s="27">
        <f t="shared" si="29"/>
        <v>0</v>
      </c>
      <c r="BO24" s="27">
        <f t="shared" si="29"/>
        <v>0</v>
      </c>
    </row>
    <row r="25" spans="1:67" s="140" customFormat="1" x14ac:dyDescent="0.25">
      <c r="A25" s="170" t="s">
        <v>315</v>
      </c>
      <c r="B25" s="11" t="s">
        <v>352</v>
      </c>
      <c r="C25" s="126" t="s">
        <v>116</v>
      </c>
      <c r="D25" s="128" t="s">
        <v>107</v>
      </c>
      <c r="E25" s="170" t="s">
        <v>315</v>
      </c>
      <c r="F25" s="194" t="s">
        <v>245</v>
      </c>
      <c r="G25" s="170" t="s">
        <v>312</v>
      </c>
      <c r="H25" s="195"/>
      <c r="I25" s="195"/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  <c r="U25" s="126">
        <v>0</v>
      </c>
      <c r="V25" s="126">
        <v>0</v>
      </c>
      <c r="W25" s="126">
        <v>2</v>
      </c>
      <c r="X25" s="126">
        <v>0</v>
      </c>
      <c r="Y25" s="126">
        <v>46</v>
      </c>
      <c r="Z25" s="126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46</v>
      </c>
      <c r="AF25" s="195"/>
      <c r="AG25" s="195"/>
      <c r="AH25" s="195"/>
      <c r="AI25" s="126">
        <v>46</v>
      </c>
      <c r="AJ25" s="195"/>
      <c r="AK25" s="126">
        <v>0</v>
      </c>
      <c r="AL25" s="126">
        <v>0</v>
      </c>
      <c r="AM25" s="126">
        <v>2</v>
      </c>
      <c r="AN25" s="126">
        <v>0</v>
      </c>
      <c r="AO25" s="126">
        <v>46</v>
      </c>
      <c r="AP25" s="126">
        <v>0</v>
      </c>
      <c r="AQ25" s="126">
        <v>0</v>
      </c>
      <c r="AR25" s="126">
        <v>0</v>
      </c>
      <c r="AS25" s="126">
        <v>0</v>
      </c>
      <c r="AT25" s="11">
        <v>2</v>
      </c>
      <c r="AU25" s="126">
        <v>46</v>
      </c>
      <c r="AV25" s="126">
        <v>0</v>
      </c>
      <c r="AW25" s="195"/>
      <c r="AX25" s="195"/>
      <c r="AY25" s="126">
        <f t="shared" si="13"/>
        <v>46</v>
      </c>
      <c r="AZ25" s="195"/>
      <c r="BA25" s="195"/>
      <c r="BC25" s="27">
        <f t="shared" si="24"/>
        <v>0</v>
      </c>
      <c r="BD25" s="27">
        <f t="shared" si="15"/>
        <v>0</v>
      </c>
      <c r="BF25" s="27">
        <f t="shared" si="16"/>
        <v>1</v>
      </c>
      <c r="BH25" s="27">
        <f t="shared" si="28"/>
        <v>0</v>
      </c>
      <c r="BI25" s="27">
        <f t="shared" si="28"/>
        <v>0</v>
      </c>
      <c r="BJ25" s="27">
        <f t="shared" si="28"/>
        <v>0</v>
      </c>
      <c r="BM25" s="27">
        <f t="shared" si="29"/>
        <v>0</v>
      </c>
      <c r="BN25" s="27">
        <f t="shared" si="29"/>
        <v>0</v>
      </c>
      <c r="BO25" s="27">
        <v>1</v>
      </c>
    </row>
    <row r="26" spans="1:67" s="140" customFormat="1" x14ac:dyDescent="0.25">
      <c r="A26" s="170" t="s">
        <v>315</v>
      </c>
      <c r="B26" s="11" t="s">
        <v>352</v>
      </c>
      <c r="C26" s="126" t="s">
        <v>116</v>
      </c>
      <c r="D26" s="128" t="s">
        <v>107</v>
      </c>
      <c r="E26" s="170" t="s">
        <v>315</v>
      </c>
      <c r="F26" s="194" t="s">
        <v>316</v>
      </c>
      <c r="G26" s="170" t="s">
        <v>313</v>
      </c>
      <c r="H26" s="195"/>
      <c r="I26" s="195"/>
      <c r="J26" s="126">
        <v>0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  <c r="U26" s="126">
        <v>0</v>
      </c>
      <c r="V26" s="126">
        <v>0</v>
      </c>
      <c r="W26" s="126">
        <v>2</v>
      </c>
      <c r="X26" s="126">
        <v>0</v>
      </c>
      <c r="Y26" s="126">
        <v>46</v>
      </c>
      <c r="Z26" s="126">
        <v>0</v>
      </c>
      <c r="AA26" s="126">
        <v>0</v>
      </c>
      <c r="AB26" s="126">
        <v>0</v>
      </c>
      <c r="AC26" s="126">
        <v>0</v>
      </c>
      <c r="AD26" s="126">
        <v>0</v>
      </c>
      <c r="AE26" s="126">
        <v>46</v>
      </c>
      <c r="AF26" s="195"/>
      <c r="AG26" s="195"/>
      <c r="AH26" s="195"/>
      <c r="AI26" s="126">
        <v>46</v>
      </c>
      <c r="AJ26" s="195"/>
      <c r="AK26" s="126">
        <v>0</v>
      </c>
      <c r="AL26" s="126">
        <v>0</v>
      </c>
      <c r="AM26" s="126">
        <v>2</v>
      </c>
      <c r="AN26" s="126">
        <v>0</v>
      </c>
      <c r="AO26" s="126">
        <v>46</v>
      </c>
      <c r="AP26" s="126">
        <v>0</v>
      </c>
      <c r="AQ26" s="126">
        <v>0</v>
      </c>
      <c r="AR26" s="126">
        <v>0</v>
      </c>
      <c r="AS26" s="126">
        <v>0</v>
      </c>
      <c r="AT26" s="11">
        <v>2</v>
      </c>
      <c r="AU26" s="126">
        <v>46</v>
      </c>
      <c r="AV26" s="126">
        <v>0</v>
      </c>
      <c r="AW26" s="195"/>
      <c r="AX26" s="195"/>
      <c r="AY26" s="126">
        <f t="shared" si="13"/>
        <v>46</v>
      </c>
      <c r="AZ26" s="195"/>
      <c r="BA26" s="195"/>
      <c r="BC26" s="27">
        <f t="shared" si="24"/>
        <v>0</v>
      </c>
      <c r="BD26" s="27">
        <f t="shared" si="15"/>
        <v>0</v>
      </c>
      <c r="BF26" s="27">
        <f t="shared" si="16"/>
        <v>1</v>
      </c>
      <c r="BH26" s="27">
        <f t="shared" si="28"/>
        <v>0</v>
      </c>
      <c r="BI26" s="27">
        <f t="shared" si="28"/>
        <v>0</v>
      </c>
      <c r="BJ26" s="27">
        <f t="shared" si="28"/>
        <v>0</v>
      </c>
      <c r="BM26" s="27">
        <f t="shared" si="29"/>
        <v>0</v>
      </c>
      <c r="BN26" s="27">
        <f t="shared" si="29"/>
        <v>0</v>
      </c>
      <c r="BO26" s="27">
        <v>1</v>
      </c>
    </row>
    <row r="27" spans="1:67" s="140" customFormat="1" x14ac:dyDescent="0.25">
      <c r="A27" s="170" t="s">
        <v>315</v>
      </c>
      <c r="B27" s="11" t="s">
        <v>352</v>
      </c>
      <c r="C27" s="126" t="s">
        <v>116</v>
      </c>
      <c r="D27" s="128" t="s">
        <v>107</v>
      </c>
      <c r="E27" s="170" t="s">
        <v>315</v>
      </c>
      <c r="F27" s="197" t="s">
        <v>317</v>
      </c>
      <c r="G27" s="170" t="s">
        <v>314</v>
      </c>
      <c r="H27" s="195"/>
      <c r="I27" s="195"/>
      <c r="J27" s="126">
        <v>0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  <c r="U27" s="126">
        <v>0</v>
      </c>
      <c r="V27" s="126">
        <v>0</v>
      </c>
      <c r="W27" s="126">
        <v>2</v>
      </c>
      <c r="X27" s="126">
        <v>0</v>
      </c>
      <c r="Y27" s="126">
        <v>46</v>
      </c>
      <c r="Z27" s="126">
        <v>0</v>
      </c>
      <c r="AA27" s="126">
        <v>0</v>
      </c>
      <c r="AB27" s="126">
        <v>0</v>
      </c>
      <c r="AC27" s="126">
        <v>0</v>
      </c>
      <c r="AD27" s="126">
        <v>0</v>
      </c>
      <c r="AE27" s="126">
        <v>46</v>
      </c>
      <c r="AF27" s="195"/>
      <c r="AG27" s="195"/>
      <c r="AH27" s="195"/>
      <c r="AI27" s="126">
        <v>46</v>
      </c>
      <c r="AJ27" s="195"/>
      <c r="AK27" s="126">
        <v>0</v>
      </c>
      <c r="AL27" s="126">
        <v>0</v>
      </c>
      <c r="AM27" s="126">
        <v>2</v>
      </c>
      <c r="AN27" s="126">
        <v>0</v>
      </c>
      <c r="AO27" s="126">
        <v>46</v>
      </c>
      <c r="AP27" s="126">
        <v>0</v>
      </c>
      <c r="AQ27" s="126">
        <v>0</v>
      </c>
      <c r="AR27" s="126">
        <v>0</v>
      </c>
      <c r="AS27" s="126">
        <v>0</v>
      </c>
      <c r="AT27" s="11">
        <v>2</v>
      </c>
      <c r="AU27" s="126">
        <v>46</v>
      </c>
      <c r="AV27" s="126">
        <v>0</v>
      </c>
      <c r="AW27" s="195"/>
      <c r="AX27" s="195"/>
      <c r="AY27" s="126">
        <f t="shared" si="13"/>
        <v>46</v>
      </c>
      <c r="AZ27" s="195"/>
      <c r="BA27" s="195"/>
      <c r="BC27" s="27">
        <f t="shared" si="24"/>
        <v>0</v>
      </c>
      <c r="BD27" s="27">
        <f t="shared" si="15"/>
        <v>0</v>
      </c>
      <c r="BF27" s="27">
        <f t="shared" si="16"/>
        <v>1</v>
      </c>
      <c r="BH27" s="27">
        <f t="shared" si="28"/>
        <v>0</v>
      </c>
      <c r="BI27" s="27">
        <f t="shared" si="28"/>
        <v>0</v>
      </c>
      <c r="BJ27" s="27">
        <f t="shared" si="28"/>
        <v>0</v>
      </c>
      <c r="BM27" s="27">
        <f t="shared" si="29"/>
        <v>0</v>
      </c>
      <c r="BN27" s="27">
        <f t="shared" si="29"/>
        <v>0</v>
      </c>
      <c r="BO27" s="27">
        <v>1</v>
      </c>
    </row>
    <row r="28" spans="1:67" s="140" customFormat="1" x14ac:dyDescent="0.25">
      <c r="A28" s="170" t="s">
        <v>315</v>
      </c>
      <c r="B28" s="11" t="s">
        <v>353</v>
      </c>
      <c r="C28" s="126" t="s">
        <v>116</v>
      </c>
      <c r="D28" s="128" t="s">
        <v>107</v>
      </c>
      <c r="E28" s="170" t="s">
        <v>315</v>
      </c>
      <c r="F28" s="194" t="s">
        <v>327</v>
      </c>
      <c r="G28" s="170" t="s">
        <v>326</v>
      </c>
      <c r="H28" s="195"/>
      <c r="I28" s="195"/>
      <c r="J28" s="126">
        <v>0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  <c r="U28" s="126">
        <v>0</v>
      </c>
      <c r="V28" s="126">
        <v>0</v>
      </c>
      <c r="W28" s="126">
        <v>2</v>
      </c>
      <c r="X28" s="126">
        <v>0</v>
      </c>
      <c r="Y28" s="126">
        <v>46</v>
      </c>
      <c r="Z28" s="126">
        <v>0</v>
      </c>
      <c r="AA28" s="126">
        <v>0</v>
      </c>
      <c r="AB28" s="126">
        <v>0</v>
      </c>
      <c r="AC28" s="126">
        <v>0</v>
      </c>
      <c r="AD28" s="126">
        <v>0</v>
      </c>
      <c r="AE28" s="126">
        <v>46</v>
      </c>
      <c r="AF28" s="195"/>
      <c r="AG28" s="195"/>
      <c r="AH28" s="195"/>
      <c r="AI28" s="126">
        <v>46</v>
      </c>
      <c r="AJ28" s="195"/>
      <c r="AK28" s="126">
        <v>0</v>
      </c>
      <c r="AL28" s="126">
        <v>0</v>
      </c>
      <c r="AM28" s="126">
        <v>2</v>
      </c>
      <c r="AN28" s="126">
        <v>0</v>
      </c>
      <c r="AO28" s="126">
        <v>46</v>
      </c>
      <c r="AP28" s="126">
        <v>0</v>
      </c>
      <c r="AQ28" s="126">
        <v>0</v>
      </c>
      <c r="AR28" s="126">
        <v>0</v>
      </c>
      <c r="AS28" s="126">
        <v>0</v>
      </c>
      <c r="AT28" s="11">
        <v>2</v>
      </c>
      <c r="AU28" s="126">
        <v>46</v>
      </c>
      <c r="AV28" s="126">
        <v>0</v>
      </c>
      <c r="AW28" s="195"/>
      <c r="AX28" s="195"/>
      <c r="AY28" s="126">
        <f t="shared" si="13"/>
        <v>46</v>
      </c>
      <c r="AZ28" s="195"/>
      <c r="BA28" s="195"/>
      <c r="BC28" s="27">
        <f t="shared" si="24"/>
        <v>0</v>
      </c>
      <c r="BD28" s="27">
        <f t="shared" ref="BD28:BD39" si="30">SUM(AP28:AS28)</f>
        <v>0</v>
      </c>
      <c r="BF28" s="27">
        <f t="shared" si="16"/>
        <v>1</v>
      </c>
      <c r="BH28" s="27">
        <f t="shared" si="28"/>
        <v>0</v>
      </c>
      <c r="BI28" s="27">
        <f t="shared" si="28"/>
        <v>0</v>
      </c>
      <c r="BJ28" s="27">
        <f t="shared" si="28"/>
        <v>0</v>
      </c>
      <c r="BM28" s="27">
        <f t="shared" si="29"/>
        <v>0</v>
      </c>
      <c r="BN28" s="27">
        <f t="shared" si="29"/>
        <v>0</v>
      </c>
      <c r="BO28" s="27">
        <v>1</v>
      </c>
    </row>
    <row r="29" spans="1:67" s="140" customFormat="1" x14ac:dyDescent="0.25">
      <c r="A29" s="170" t="s">
        <v>315</v>
      </c>
      <c r="B29" s="11" t="s">
        <v>353</v>
      </c>
      <c r="C29" s="126" t="s">
        <v>116</v>
      </c>
      <c r="D29" s="128" t="s">
        <v>107</v>
      </c>
      <c r="E29" s="170" t="s">
        <v>315</v>
      </c>
      <c r="F29" s="194" t="s">
        <v>328</v>
      </c>
      <c r="G29" s="170" t="s">
        <v>330</v>
      </c>
      <c r="H29" s="195"/>
      <c r="I29" s="195"/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6">
        <v>0</v>
      </c>
      <c r="W29" s="126">
        <v>2</v>
      </c>
      <c r="X29" s="126">
        <v>0</v>
      </c>
      <c r="Y29" s="126">
        <v>46</v>
      </c>
      <c r="Z29" s="126">
        <v>0</v>
      </c>
      <c r="AA29" s="126">
        <v>0</v>
      </c>
      <c r="AB29" s="126">
        <v>0</v>
      </c>
      <c r="AC29" s="126">
        <v>0</v>
      </c>
      <c r="AD29" s="126">
        <v>0</v>
      </c>
      <c r="AE29" s="126">
        <v>46</v>
      </c>
      <c r="AF29" s="195"/>
      <c r="AG29" s="195"/>
      <c r="AH29" s="195"/>
      <c r="AI29" s="126">
        <v>46</v>
      </c>
      <c r="AJ29" s="195"/>
      <c r="AK29" s="126">
        <v>0</v>
      </c>
      <c r="AL29" s="126">
        <v>0</v>
      </c>
      <c r="AM29" s="126">
        <v>2</v>
      </c>
      <c r="AN29" s="126">
        <v>0</v>
      </c>
      <c r="AO29" s="126">
        <v>46</v>
      </c>
      <c r="AP29" s="126">
        <v>0</v>
      </c>
      <c r="AQ29" s="126">
        <v>0</v>
      </c>
      <c r="AR29" s="126">
        <v>0</v>
      </c>
      <c r="AS29" s="126">
        <v>0</v>
      </c>
      <c r="AT29" s="11">
        <v>2</v>
      </c>
      <c r="AU29" s="126">
        <v>46</v>
      </c>
      <c r="AV29" s="126">
        <v>0</v>
      </c>
      <c r="AW29" s="195"/>
      <c r="AX29" s="195"/>
      <c r="AY29" s="126">
        <f t="shared" si="13"/>
        <v>46</v>
      </c>
      <c r="AZ29" s="195"/>
      <c r="BA29" s="195"/>
      <c r="BC29" s="27">
        <f t="shared" si="24"/>
        <v>0</v>
      </c>
      <c r="BD29" s="27">
        <f t="shared" si="30"/>
        <v>0</v>
      </c>
      <c r="BF29" s="27">
        <f t="shared" si="16"/>
        <v>1</v>
      </c>
      <c r="BH29" s="27">
        <f t="shared" si="28"/>
        <v>0</v>
      </c>
      <c r="BI29" s="27">
        <f t="shared" si="28"/>
        <v>0</v>
      </c>
      <c r="BJ29" s="27">
        <f t="shared" si="28"/>
        <v>0</v>
      </c>
      <c r="BM29" s="27">
        <f t="shared" si="29"/>
        <v>0</v>
      </c>
      <c r="BN29" s="27">
        <f t="shared" si="29"/>
        <v>0</v>
      </c>
      <c r="BO29" s="27">
        <v>1</v>
      </c>
    </row>
    <row r="30" spans="1:67" s="140" customFormat="1" x14ac:dyDescent="0.25">
      <c r="A30" s="170" t="s">
        <v>315</v>
      </c>
      <c r="B30" s="11" t="s">
        <v>353</v>
      </c>
      <c r="C30" s="126" t="s">
        <v>116</v>
      </c>
      <c r="D30" s="128" t="s">
        <v>107</v>
      </c>
      <c r="E30" s="170" t="s">
        <v>315</v>
      </c>
      <c r="F30" s="197" t="s">
        <v>329</v>
      </c>
      <c r="G30" s="170" t="s">
        <v>331</v>
      </c>
      <c r="H30" s="195"/>
      <c r="I30" s="195"/>
      <c r="J30" s="126">
        <v>0</v>
      </c>
      <c r="K30" s="126">
        <v>0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6">
        <v>0</v>
      </c>
      <c r="W30" s="126">
        <v>2</v>
      </c>
      <c r="X30" s="126">
        <v>0</v>
      </c>
      <c r="Y30" s="126">
        <v>46</v>
      </c>
      <c r="Z30" s="126">
        <v>0</v>
      </c>
      <c r="AA30" s="126">
        <v>0</v>
      </c>
      <c r="AB30" s="126">
        <v>0</v>
      </c>
      <c r="AC30" s="126">
        <v>0</v>
      </c>
      <c r="AD30" s="126">
        <v>0</v>
      </c>
      <c r="AE30" s="126">
        <v>46</v>
      </c>
      <c r="AF30" s="195"/>
      <c r="AG30" s="195"/>
      <c r="AH30" s="195"/>
      <c r="AI30" s="126">
        <v>46</v>
      </c>
      <c r="AJ30" s="195"/>
      <c r="AK30" s="126">
        <v>0</v>
      </c>
      <c r="AL30" s="126">
        <v>0</v>
      </c>
      <c r="AM30" s="126">
        <v>2</v>
      </c>
      <c r="AN30" s="126">
        <v>0</v>
      </c>
      <c r="AO30" s="126">
        <v>46</v>
      </c>
      <c r="AP30" s="126">
        <v>0</v>
      </c>
      <c r="AQ30" s="126">
        <v>0</v>
      </c>
      <c r="AR30" s="126">
        <v>0</v>
      </c>
      <c r="AS30" s="126">
        <v>0</v>
      </c>
      <c r="AT30" s="11">
        <v>2</v>
      </c>
      <c r="AU30" s="126">
        <v>46</v>
      </c>
      <c r="AV30" s="126">
        <v>0</v>
      </c>
      <c r="AW30" s="195"/>
      <c r="AX30" s="195"/>
      <c r="AY30" s="126">
        <f t="shared" si="13"/>
        <v>46</v>
      </c>
      <c r="AZ30" s="195"/>
      <c r="BA30" s="195"/>
      <c r="BC30" s="27">
        <f t="shared" si="24"/>
        <v>0</v>
      </c>
      <c r="BD30" s="27">
        <f t="shared" si="30"/>
        <v>0</v>
      </c>
      <c r="BF30" s="27">
        <f t="shared" si="16"/>
        <v>1</v>
      </c>
      <c r="BH30" s="27">
        <f t="shared" si="28"/>
        <v>0</v>
      </c>
      <c r="BI30" s="27">
        <f t="shared" si="28"/>
        <v>0</v>
      </c>
      <c r="BJ30" s="27">
        <f t="shared" si="28"/>
        <v>0</v>
      </c>
      <c r="BM30" s="27">
        <f t="shared" si="29"/>
        <v>0</v>
      </c>
      <c r="BN30" s="27">
        <f t="shared" si="29"/>
        <v>0</v>
      </c>
      <c r="BO30" s="27">
        <v>1</v>
      </c>
    </row>
    <row r="31" spans="1:67" s="140" customFormat="1" x14ac:dyDescent="0.25">
      <c r="A31" s="170" t="s">
        <v>315</v>
      </c>
      <c r="B31" s="11" t="s">
        <v>354</v>
      </c>
      <c r="C31" s="126" t="s">
        <v>116</v>
      </c>
      <c r="D31" s="128" t="s">
        <v>107</v>
      </c>
      <c r="E31" s="170" t="s">
        <v>315</v>
      </c>
      <c r="F31" s="194" t="s">
        <v>336</v>
      </c>
      <c r="G31" s="170" t="s">
        <v>332</v>
      </c>
      <c r="H31" s="195"/>
      <c r="I31" s="195"/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  <c r="U31" s="126">
        <v>0</v>
      </c>
      <c r="V31" s="126">
        <v>0</v>
      </c>
      <c r="W31" s="126">
        <v>2</v>
      </c>
      <c r="X31" s="126">
        <v>0</v>
      </c>
      <c r="Y31" s="126">
        <v>46</v>
      </c>
      <c r="Z31" s="126">
        <v>0</v>
      </c>
      <c r="AA31" s="126">
        <v>0</v>
      </c>
      <c r="AB31" s="126">
        <v>0</v>
      </c>
      <c r="AC31" s="126">
        <v>0</v>
      </c>
      <c r="AD31" s="126">
        <v>0</v>
      </c>
      <c r="AE31" s="126">
        <v>46</v>
      </c>
      <c r="AF31" s="195"/>
      <c r="AG31" s="195"/>
      <c r="AH31" s="195"/>
      <c r="AI31" s="126">
        <v>46</v>
      </c>
      <c r="AJ31" s="195"/>
      <c r="AK31" s="126">
        <v>0</v>
      </c>
      <c r="AL31" s="126">
        <v>0</v>
      </c>
      <c r="AM31" s="126">
        <v>2</v>
      </c>
      <c r="AN31" s="126">
        <v>0</v>
      </c>
      <c r="AO31" s="126">
        <v>46</v>
      </c>
      <c r="AP31" s="126">
        <v>0</v>
      </c>
      <c r="AQ31" s="126">
        <v>0</v>
      </c>
      <c r="AR31" s="126">
        <v>0</v>
      </c>
      <c r="AS31" s="126">
        <v>0</v>
      </c>
      <c r="AT31" s="11">
        <v>2</v>
      </c>
      <c r="AU31" s="126">
        <v>46</v>
      </c>
      <c r="AV31" s="126">
        <v>0</v>
      </c>
      <c r="AW31" s="195"/>
      <c r="AX31" s="195"/>
      <c r="AY31" s="126">
        <f t="shared" si="13"/>
        <v>46</v>
      </c>
      <c r="AZ31" s="195"/>
      <c r="BA31" s="195"/>
      <c r="BC31" s="27">
        <f t="shared" si="24"/>
        <v>0</v>
      </c>
      <c r="BD31" s="27">
        <f t="shared" si="30"/>
        <v>0</v>
      </c>
      <c r="BF31" s="27">
        <f t="shared" si="16"/>
        <v>1</v>
      </c>
      <c r="BH31" s="27">
        <f t="shared" si="28"/>
        <v>0</v>
      </c>
      <c r="BI31" s="27">
        <f t="shared" si="28"/>
        <v>0</v>
      </c>
      <c r="BJ31" s="27">
        <f t="shared" si="28"/>
        <v>0</v>
      </c>
      <c r="BM31" s="27">
        <f t="shared" si="29"/>
        <v>0</v>
      </c>
      <c r="BN31" s="27">
        <f t="shared" si="29"/>
        <v>0</v>
      </c>
      <c r="BO31" s="27">
        <v>1</v>
      </c>
    </row>
    <row r="32" spans="1:67" s="140" customFormat="1" x14ac:dyDescent="0.25">
      <c r="A32" s="170" t="s">
        <v>315</v>
      </c>
      <c r="B32" s="11" t="s">
        <v>354</v>
      </c>
      <c r="C32" s="126" t="s">
        <v>116</v>
      </c>
      <c r="D32" s="128" t="s">
        <v>107</v>
      </c>
      <c r="E32" s="170" t="s">
        <v>315</v>
      </c>
      <c r="F32" s="194" t="s">
        <v>335</v>
      </c>
      <c r="G32" s="170" t="s">
        <v>333</v>
      </c>
      <c r="H32" s="195"/>
      <c r="I32" s="195"/>
      <c r="J32" s="126">
        <v>0</v>
      </c>
      <c r="K32" s="126">
        <v>0</v>
      </c>
      <c r="L32" s="126">
        <v>0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  <c r="U32" s="126">
        <v>0</v>
      </c>
      <c r="V32" s="126">
        <v>0</v>
      </c>
      <c r="W32" s="126">
        <v>2</v>
      </c>
      <c r="X32" s="126">
        <v>0</v>
      </c>
      <c r="Y32" s="126">
        <v>46</v>
      </c>
      <c r="Z32" s="126">
        <v>0</v>
      </c>
      <c r="AA32" s="126">
        <v>0</v>
      </c>
      <c r="AB32" s="126">
        <v>0</v>
      </c>
      <c r="AC32" s="126">
        <v>0</v>
      </c>
      <c r="AD32" s="126">
        <v>0</v>
      </c>
      <c r="AE32" s="126">
        <v>46</v>
      </c>
      <c r="AF32" s="195"/>
      <c r="AG32" s="195"/>
      <c r="AH32" s="195"/>
      <c r="AI32" s="126">
        <v>46</v>
      </c>
      <c r="AJ32" s="195"/>
      <c r="AK32" s="126">
        <v>0</v>
      </c>
      <c r="AL32" s="126">
        <v>0</v>
      </c>
      <c r="AM32" s="126">
        <v>2</v>
      </c>
      <c r="AN32" s="126">
        <v>0</v>
      </c>
      <c r="AO32" s="126">
        <v>46</v>
      </c>
      <c r="AP32" s="126">
        <v>0</v>
      </c>
      <c r="AQ32" s="126">
        <v>0</v>
      </c>
      <c r="AR32" s="126">
        <v>0</v>
      </c>
      <c r="AS32" s="126">
        <v>0</v>
      </c>
      <c r="AT32" s="11">
        <v>2</v>
      </c>
      <c r="AU32" s="126">
        <v>46</v>
      </c>
      <c r="AV32" s="126">
        <v>0</v>
      </c>
      <c r="AW32" s="195"/>
      <c r="AX32" s="195"/>
      <c r="AY32" s="126">
        <f t="shared" si="13"/>
        <v>46</v>
      </c>
      <c r="AZ32" s="195"/>
      <c r="BA32" s="195"/>
      <c r="BC32" s="27">
        <f t="shared" si="24"/>
        <v>0</v>
      </c>
      <c r="BD32" s="27">
        <f t="shared" si="30"/>
        <v>0</v>
      </c>
      <c r="BF32" s="27">
        <f t="shared" si="16"/>
        <v>1</v>
      </c>
      <c r="BH32" s="27">
        <f t="shared" si="28"/>
        <v>0</v>
      </c>
      <c r="BI32" s="27">
        <f t="shared" si="28"/>
        <v>0</v>
      </c>
      <c r="BJ32" s="27">
        <f t="shared" si="28"/>
        <v>0</v>
      </c>
      <c r="BM32" s="27">
        <f t="shared" si="29"/>
        <v>0</v>
      </c>
      <c r="BN32" s="27">
        <f t="shared" si="29"/>
        <v>0</v>
      </c>
      <c r="BO32" s="27">
        <v>1</v>
      </c>
    </row>
    <row r="33" spans="1:67" s="140" customFormat="1" x14ac:dyDescent="0.25">
      <c r="A33" s="170" t="s">
        <v>315</v>
      </c>
      <c r="B33" s="11" t="s">
        <v>354</v>
      </c>
      <c r="C33" s="126" t="s">
        <v>116</v>
      </c>
      <c r="D33" s="128" t="s">
        <v>107</v>
      </c>
      <c r="E33" s="170" t="s">
        <v>315</v>
      </c>
      <c r="F33" s="197" t="s">
        <v>49</v>
      </c>
      <c r="G33" s="170" t="s">
        <v>334</v>
      </c>
      <c r="H33" s="195"/>
      <c r="I33" s="195"/>
      <c r="J33" s="126">
        <v>0</v>
      </c>
      <c r="K33" s="126">
        <v>0</v>
      </c>
      <c r="L33" s="126">
        <v>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  <c r="U33" s="126">
        <v>0</v>
      </c>
      <c r="V33" s="126">
        <v>0</v>
      </c>
      <c r="W33" s="126">
        <v>2</v>
      </c>
      <c r="X33" s="126">
        <v>0</v>
      </c>
      <c r="Y33" s="126">
        <v>46</v>
      </c>
      <c r="Z33" s="126">
        <v>0</v>
      </c>
      <c r="AA33" s="126">
        <v>0</v>
      </c>
      <c r="AB33" s="126">
        <v>0</v>
      </c>
      <c r="AC33" s="126">
        <v>0</v>
      </c>
      <c r="AD33" s="126">
        <v>0</v>
      </c>
      <c r="AE33" s="126">
        <v>46</v>
      </c>
      <c r="AF33" s="195"/>
      <c r="AG33" s="195"/>
      <c r="AH33" s="195"/>
      <c r="AI33" s="126">
        <v>46</v>
      </c>
      <c r="AJ33" s="195"/>
      <c r="AK33" s="126">
        <v>0</v>
      </c>
      <c r="AL33" s="126">
        <v>0</v>
      </c>
      <c r="AM33" s="126">
        <v>2</v>
      </c>
      <c r="AN33" s="126">
        <v>0</v>
      </c>
      <c r="AO33" s="126">
        <v>46</v>
      </c>
      <c r="AP33" s="126">
        <v>0</v>
      </c>
      <c r="AQ33" s="126">
        <v>0</v>
      </c>
      <c r="AR33" s="126">
        <v>0</v>
      </c>
      <c r="AS33" s="126">
        <v>0</v>
      </c>
      <c r="AT33" s="11">
        <v>2</v>
      </c>
      <c r="AU33" s="126">
        <v>46</v>
      </c>
      <c r="AV33" s="126">
        <v>0</v>
      </c>
      <c r="AW33" s="195"/>
      <c r="AX33" s="195"/>
      <c r="AY33" s="126">
        <f t="shared" si="13"/>
        <v>46</v>
      </c>
      <c r="AZ33" s="195"/>
      <c r="BA33" s="195"/>
      <c r="BC33" s="27">
        <f t="shared" si="24"/>
        <v>0</v>
      </c>
      <c r="BD33" s="27">
        <f t="shared" si="30"/>
        <v>0</v>
      </c>
      <c r="BF33" s="27">
        <f t="shared" si="16"/>
        <v>1</v>
      </c>
      <c r="BH33" s="27">
        <f t="shared" ref="BH33:BJ39" si="31">IF(AG33&lt;&gt;0,IF(AF33="Y",IF(BL33&lt;&gt;0,1,0),0),0)</f>
        <v>0</v>
      </c>
      <c r="BI33" s="27">
        <f t="shared" si="31"/>
        <v>0</v>
      </c>
      <c r="BJ33" s="27">
        <f t="shared" si="31"/>
        <v>0</v>
      </c>
      <c r="BM33" s="27">
        <f t="shared" ref="BM33:BN39" si="32">IF(AL33&lt;&gt;0,IF(AK33="Y",IF(BQ33&lt;&gt;0,1,0),0),0)</f>
        <v>0</v>
      </c>
      <c r="BN33" s="27">
        <f t="shared" si="32"/>
        <v>0</v>
      </c>
      <c r="BO33" s="27">
        <v>1</v>
      </c>
    </row>
    <row r="34" spans="1:67" s="140" customFormat="1" x14ac:dyDescent="0.25">
      <c r="A34" s="170" t="s">
        <v>315</v>
      </c>
      <c r="B34" s="11" t="s">
        <v>355</v>
      </c>
      <c r="C34" s="126" t="s">
        <v>116</v>
      </c>
      <c r="D34" s="128" t="s">
        <v>107</v>
      </c>
      <c r="E34" s="170" t="s">
        <v>315</v>
      </c>
      <c r="F34" s="197" t="s">
        <v>276</v>
      </c>
      <c r="G34" s="170" t="s">
        <v>356</v>
      </c>
      <c r="H34" s="195"/>
      <c r="I34" s="195"/>
      <c r="J34" s="126">
        <v>0</v>
      </c>
      <c r="K34" s="126">
        <v>0</v>
      </c>
      <c r="L34" s="126">
        <v>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  <c r="U34" s="126">
        <v>0</v>
      </c>
      <c r="V34" s="126">
        <v>0</v>
      </c>
      <c r="W34" s="126">
        <v>1</v>
      </c>
      <c r="X34" s="126">
        <v>0</v>
      </c>
      <c r="Y34" s="126">
        <v>15</v>
      </c>
      <c r="Z34" s="126">
        <v>0</v>
      </c>
      <c r="AA34" s="126">
        <v>0</v>
      </c>
      <c r="AB34" s="126">
        <v>0</v>
      </c>
      <c r="AC34" s="126">
        <v>0</v>
      </c>
      <c r="AD34" s="126">
        <v>0</v>
      </c>
      <c r="AE34" s="126">
        <v>15</v>
      </c>
      <c r="AF34" s="195"/>
      <c r="AG34" s="195"/>
      <c r="AH34" s="195"/>
      <c r="AI34" s="126">
        <v>15</v>
      </c>
      <c r="AJ34" s="195"/>
      <c r="AK34" s="126">
        <v>0</v>
      </c>
      <c r="AL34" s="126">
        <v>0</v>
      </c>
      <c r="AM34" s="126">
        <v>2</v>
      </c>
      <c r="AN34" s="126">
        <v>0</v>
      </c>
      <c r="AO34" s="126">
        <v>46</v>
      </c>
      <c r="AP34" s="126">
        <v>0</v>
      </c>
      <c r="AQ34" s="126">
        <v>0</v>
      </c>
      <c r="AR34" s="126">
        <v>0</v>
      </c>
      <c r="AS34" s="126">
        <v>0</v>
      </c>
      <c r="AT34" s="11">
        <v>2</v>
      </c>
      <c r="AU34" s="126">
        <v>46</v>
      </c>
      <c r="AV34" s="126">
        <v>0</v>
      </c>
      <c r="AW34" s="195"/>
      <c r="AX34" s="195"/>
      <c r="AY34" s="126">
        <f t="shared" si="13"/>
        <v>46</v>
      </c>
      <c r="AZ34" s="195"/>
      <c r="BA34" s="195"/>
      <c r="BC34" s="27">
        <f t="shared" si="24"/>
        <v>0</v>
      </c>
      <c r="BD34" s="27">
        <f t="shared" si="30"/>
        <v>0</v>
      </c>
      <c r="BF34" s="27">
        <f t="shared" si="16"/>
        <v>1</v>
      </c>
      <c r="BH34" s="27">
        <f t="shared" si="31"/>
        <v>0</v>
      </c>
      <c r="BI34" s="27">
        <f t="shared" si="31"/>
        <v>0</v>
      </c>
      <c r="BJ34" s="27">
        <f t="shared" si="31"/>
        <v>0</v>
      </c>
      <c r="BM34" s="27">
        <f t="shared" si="32"/>
        <v>0</v>
      </c>
      <c r="BN34" s="27">
        <f t="shared" si="32"/>
        <v>0</v>
      </c>
      <c r="BO34" s="27">
        <v>1</v>
      </c>
    </row>
    <row r="35" spans="1:67" s="140" customFormat="1" x14ac:dyDescent="0.25">
      <c r="A35" s="170" t="s">
        <v>315</v>
      </c>
      <c r="B35" s="11" t="s">
        <v>355</v>
      </c>
      <c r="C35" s="126" t="s">
        <v>116</v>
      </c>
      <c r="D35" s="128" t="s">
        <v>107</v>
      </c>
      <c r="E35" s="170" t="s">
        <v>315</v>
      </c>
      <c r="F35" s="197" t="s">
        <v>357</v>
      </c>
      <c r="G35" s="170" t="s">
        <v>358</v>
      </c>
      <c r="H35" s="195"/>
      <c r="I35" s="195"/>
      <c r="J35" s="126">
        <v>0</v>
      </c>
      <c r="K35" s="126">
        <v>0</v>
      </c>
      <c r="L35" s="126">
        <v>0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  <c r="U35" s="126">
        <v>0</v>
      </c>
      <c r="V35" s="126">
        <v>0</v>
      </c>
      <c r="W35" s="126">
        <v>1</v>
      </c>
      <c r="X35" s="126">
        <v>0</v>
      </c>
      <c r="Y35" s="126">
        <v>15</v>
      </c>
      <c r="Z35" s="126">
        <v>0</v>
      </c>
      <c r="AA35" s="126">
        <v>0</v>
      </c>
      <c r="AB35" s="126">
        <v>0</v>
      </c>
      <c r="AC35" s="126">
        <v>0</v>
      </c>
      <c r="AD35" s="126">
        <v>0</v>
      </c>
      <c r="AE35" s="126">
        <v>15</v>
      </c>
      <c r="AF35" s="195"/>
      <c r="AG35" s="195"/>
      <c r="AH35" s="195"/>
      <c r="AI35" s="126">
        <v>15</v>
      </c>
      <c r="AJ35" s="195"/>
      <c r="AK35" s="126">
        <v>0</v>
      </c>
      <c r="AL35" s="126">
        <v>0</v>
      </c>
      <c r="AM35" s="126">
        <v>2</v>
      </c>
      <c r="AN35" s="126">
        <v>0</v>
      </c>
      <c r="AO35" s="126">
        <v>46</v>
      </c>
      <c r="AP35" s="126">
        <v>0</v>
      </c>
      <c r="AQ35" s="126">
        <v>0</v>
      </c>
      <c r="AR35" s="126">
        <v>0</v>
      </c>
      <c r="AS35" s="126">
        <v>0</v>
      </c>
      <c r="AT35" s="11">
        <v>2</v>
      </c>
      <c r="AU35" s="126">
        <v>46</v>
      </c>
      <c r="AV35" s="126">
        <v>0</v>
      </c>
      <c r="AW35" s="195"/>
      <c r="AX35" s="195"/>
      <c r="AY35" s="126">
        <f t="shared" si="13"/>
        <v>46</v>
      </c>
      <c r="AZ35" s="195"/>
      <c r="BA35" s="195"/>
      <c r="BC35" s="27">
        <f t="shared" si="24"/>
        <v>0</v>
      </c>
      <c r="BD35" s="27">
        <f t="shared" si="30"/>
        <v>0</v>
      </c>
      <c r="BF35" s="27">
        <f t="shared" si="16"/>
        <v>1</v>
      </c>
      <c r="BH35" s="27">
        <f t="shared" si="31"/>
        <v>0</v>
      </c>
      <c r="BI35" s="27">
        <f t="shared" si="31"/>
        <v>0</v>
      </c>
      <c r="BJ35" s="27">
        <f t="shared" si="31"/>
        <v>0</v>
      </c>
      <c r="BM35" s="27">
        <f t="shared" si="32"/>
        <v>0</v>
      </c>
      <c r="BN35" s="27">
        <f t="shared" si="32"/>
        <v>0</v>
      </c>
      <c r="BO35" s="27">
        <v>1</v>
      </c>
    </row>
    <row r="36" spans="1:67" s="140" customFormat="1" x14ac:dyDescent="0.25">
      <c r="A36" s="170" t="s">
        <v>315</v>
      </c>
      <c r="B36" s="11" t="s">
        <v>355</v>
      </c>
      <c r="C36" s="126" t="s">
        <v>116</v>
      </c>
      <c r="D36" s="128" t="s">
        <v>107</v>
      </c>
      <c r="E36" s="170" t="s">
        <v>315</v>
      </c>
      <c r="F36" s="197" t="s">
        <v>359</v>
      </c>
      <c r="G36" s="170" t="s">
        <v>360</v>
      </c>
      <c r="H36" s="195"/>
      <c r="I36" s="195"/>
      <c r="J36" s="126">
        <v>0</v>
      </c>
      <c r="K36" s="126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  <c r="U36" s="126">
        <v>0</v>
      </c>
      <c r="V36" s="126">
        <v>0</v>
      </c>
      <c r="W36" s="126">
        <v>1</v>
      </c>
      <c r="X36" s="126">
        <v>0</v>
      </c>
      <c r="Y36" s="126">
        <v>15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15</v>
      </c>
      <c r="AF36" s="195"/>
      <c r="AG36" s="195"/>
      <c r="AH36" s="195"/>
      <c r="AI36" s="126">
        <v>15</v>
      </c>
      <c r="AJ36" s="195"/>
      <c r="AK36" s="126">
        <v>0</v>
      </c>
      <c r="AL36" s="126">
        <v>0</v>
      </c>
      <c r="AM36" s="126">
        <v>2</v>
      </c>
      <c r="AN36" s="126">
        <v>0</v>
      </c>
      <c r="AO36" s="126">
        <v>46</v>
      </c>
      <c r="AP36" s="126">
        <v>0</v>
      </c>
      <c r="AQ36" s="126">
        <v>0</v>
      </c>
      <c r="AR36" s="126">
        <v>0</v>
      </c>
      <c r="AS36" s="126">
        <v>0</v>
      </c>
      <c r="AT36" s="11">
        <v>2</v>
      </c>
      <c r="AU36" s="126">
        <v>46</v>
      </c>
      <c r="AV36" s="126">
        <v>0</v>
      </c>
      <c r="AW36" s="195"/>
      <c r="AX36" s="195"/>
      <c r="AY36" s="126">
        <f t="shared" si="13"/>
        <v>46</v>
      </c>
      <c r="AZ36" s="195"/>
      <c r="BA36" s="195"/>
      <c r="BC36" s="27">
        <f t="shared" si="24"/>
        <v>0</v>
      </c>
      <c r="BD36" s="27">
        <f t="shared" si="30"/>
        <v>0</v>
      </c>
      <c r="BF36" s="27">
        <f t="shared" si="16"/>
        <v>1</v>
      </c>
      <c r="BH36" s="27">
        <f t="shared" si="31"/>
        <v>0</v>
      </c>
      <c r="BI36" s="27">
        <f t="shared" si="31"/>
        <v>0</v>
      </c>
      <c r="BJ36" s="27">
        <f t="shared" si="31"/>
        <v>0</v>
      </c>
      <c r="BM36" s="27">
        <f t="shared" si="32"/>
        <v>0</v>
      </c>
      <c r="BN36" s="27">
        <f t="shared" si="32"/>
        <v>0</v>
      </c>
      <c r="BO36" s="27">
        <v>1</v>
      </c>
    </row>
    <row r="37" spans="1:67" s="140" customFormat="1" x14ac:dyDescent="0.25">
      <c r="A37" s="170" t="s">
        <v>315</v>
      </c>
      <c r="B37" s="11" t="s">
        <v>361</v>
      </c>
      <c r="C37" s="126" t="s">
        <v>116</v>
      </c>
      <c r="D37" s="128" t="s">
        <v>107</v>
      </c>
      <c r="E37" s="170" t="s">
        <v>315</v>
      </c>
      <c r="F37" s="197" t="s">
        <v>159</v>
      </c>
      <c r="G37" s="170" t="s">
        <v>362</v>
      </c>
      <c r="H37" s="195"/>
      <c r="I37" s="195"/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  <c r="U37" s="126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95"/>
      <c r="AG37" s="195"/>
      <c r="AH37" s="195"/>
      <c r="AI37" s="126">
        <v>0</v>
      </c>
      <c r="AJ37" s="195"/>
      <c r="AK37" s="126">
        <v>0</v>
      </c>
      <c r="AL37" s="126">
        <v>0</v>
      </c>
      <c r="AM37" s="126">
        <v>1</v>
      </c>
      <c r="AN37" s="126">
        <v>0</v>
      </c>
      <c r="AO37" s="126">
        <v>15</v>
      </c>
      <c r="AP37" s="126">
        <v>0</v>
      </c>
      <c r="AQ37" s="126">
        <v>0</v>
      </c>
      <c r="AR37" s="126">
        <v>0</v>
      </c>
      <c r="AS37" s="126">
        <v>0</v>
      </c>
      <c r="AT37" s="11">
        <v>1</v>
      </c>
      <c r="AU37" s="126">
        <v>15</v>
      </c>
      <c r="AV37" s="126">
        <v>0</v>
      </c>
      <c r="AW37" s="195"/>
      <c r="AX37" s="195"/>
      <c r="AY37" s="126">
        <f t="shared" si="13"/>
        <v>15</v>
      </c>
      <c r="AZ37" s="195"/>
      <c r="BA37" s="195"/>
      <c r="BC37" s="27">
        <f t="shared" si="24"/>
        <v>0</v>
      </c>
      <c r="BD37" s="27">
        <f t="shared" si="30"/>
        <v>0</v>
      </c>
      <c r="BF37" s="27">
        <f t="shared" si="16"/>
        <v>1</v>
      </c>
      <c r="BH37" s="27">
        <f t="shared" si="31"/>
        <v>0</v>
      </c>
      <c r="BI37" s="27">
        <f t="shared" si="31"/>
        <v>0</v>
      </c>
      <c r="BJ37" s="27">
        <f t="shared" si="31"/>
        <v>0</v>
      </c>
      <c r="BM37" s="27">
        <f t="shared" si="32"/>
        <v>0</v>
      </c>
      <c r="BN37" s="27">
        <f t="shared" si="32"/>
        <v>0</v>
      </c>
      <c r="BO37" s="27">
        <v>1</v>
      </c>
    </row>
    <row r="38" spans="1:67" s="140" customFormat="1" x14ac:dyDescent="0.25">
      <c r="A38" s="170" t="s">
        <v>315</v>
      </c>
      <c r="B38" s="11" t="s">
        <v>361</v>
      </c>
      <c r="C38" s="126" t="s">
        <v>116</v>
      </c>
      <c r="D38" s="128" t="s">
        <v>107</v>
      </c>
      <c r="E38" s="170" t="s">
        <v>315</v>
      </c>
      <c r="F38" s="197" t="s">
        <v>229</v>
      </c>
      <c r="G38" s="170" t="s">
        <v>363</v>
      </c>
      <c r="H38" s="195"/>
      <c r="I38" s="195"/>
      <c r="J38" s="126">
        <v>0</v>
      </c>
      <c r="K38" s="126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  <c r="U38" s="126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0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95"/>
      <c r="AG38" s="195"/>
      <c r="AH38" s="195"/>
      <c r="AI38" s="126">
        <v>0</v>
      </c>
      <c r="AJ38" s="195"/>
      <c r="AK38" s="126">
        <v>0</v>
      </c>
      <c r="AL38" s="126">
        <v>0</v>
      </c>
      <c r="AM38" s="126">
        <v>1</v>
      </c>
      <c r="AN38" s="126">
        <v>0</v>
      </c>
      <c r="AO38" s="126">
        <v>15</v>
      </c>
      <c r="AP38" s="126">
        <v>0</v>
      </c>
      <c r="AQ38" s="126">
        <v>0</v>
      </c>
      <c r="AR38" s="126">
        <v>0</v>
      </c>
      <c r="AS38" s="126">
        <v>0</v>
      </c>
      <c r="AT38" s="11">
        <v>1</v>
      </c>
      <c r="AU38" s="126">
        <v>15</v>
      </c>
      <c r="AV38" s="126">
        <v>0</v>
      </c>
      <c r="AW38" s="195"/>
      <c r="AX38" s="195"/>
      <c r="AY38" s="126">
        <f t="shared" si="13"/>
        <v>15</v>
      </c>
      <c r="AZ38" s="195"/>
      <c r="BA38" s="195"/>
      <c r="BC38" s="27">
        <f t="shared" si="24"/>
        <v>0</v>
      </c>
      <c r="BD38" s="27">
        <f t="shared" si="30"/>
        <v>0</v>
      </c>
      <c r="BF38" s="27">
        <f t="shared" si="16"/>
        <v>1</v>
      </c>
      <c r="BH38" s="27">
        <f t="shared" si="31"/>
        <v>0</v>
      </c>
      <c r="BI38" s="27">
        <f t="shared" si="31"/>
        <v>0</v>
      </c>
      <c r="BJ38" s="27">
        <f t="shared" si="31"/>
        <v>0</v>
      </c>
      <c r="BM38" s="27">
        <f t="shared" si="32"/>
        <v>0</v>
      </c>
      <c r="BN38" s="27">
        <f t="shared" si="32"/>
        <v>0</v>
      </c>
      <c r="BO38" s="27">
        <v>1</v>
      </c>
    </row>
    <row r="39" spans="1:67" s="140" customFormat="1" x14ac:dyDescent="0.25">
      <c r="A39" s="170" t="s">
        <v>315</v>
      </c>
      <c r="B39" s="11" t="s">
        <v>361</v>
      </c>
      <c r="C39" s="126" t="s">
        <v>116</v>
      </c>
      <c r="D39" s="128" t="s">
        <v>107</v>
      </c>
      <c r="E39" s="170" t="s">
        <v>315</v>
      </c>
      <c r="F39" s="197" t="s">
        <v>364</v>
      </c>
      <c r="G39" s="170" t="s">
        <v>365</v>
      </c>
      <c r="H39" s="195"/>
      <c r="I39" s="195"/>
      <c r="J39" s="126">
        <v>0</v>
      </c>
      <c r="K39" s="126">
        <v>0</v>
      </c>
      <c r="L39" s="126">
        <v>0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  <c r="U39" s="126">
        <v>0</v>
      </c>
      <c r="V39" s="126">
        <v>0</v>
      </c>
      <c r="W39" s="126">
        <v>0</v>
      </c>
      <c r="X39" s="126">
        <v>0</v>
      </c>
      <c r="Y39" s="126">
        <v>0</v>
      </c>
      <c r="Z39" s="126">
        <v>0</v>
      </c>
      <c r="AA39" s="126">
        <v>0</v>
      </c>
      <c r="AB39" s="126">
        <v>0</v>
      </c>
      <c r="AC39" s="126">
        <v>0</v>
      </c>
      <c r="AD39" s="126">
        <v>0</v>
      </c>
      <c r="AE39" s="126">
        <v>0</v>
      </c>
      <c r="AF39" s="195"/>
      <c r="AG39" s="195"/>
      <c r="AH39" s="195"/>
      <c r="AI39" s="126">
        <v>0</v>
      </c>
      <c r="AJ39" s="195"/>
      <c r="AK39" s="126">
        <v>0</v>
      </c>
      <c r="AL39" s="126">
        <v>0</v>
      </c>
      <c r="AM39" s="126">
        <v>1</v>
      </c>
      <c r="AN39" s="126">
        <v>0</v>
      </c>
      <c r="AO39" s="126">
        <v>15</v>
      </c>
      <c r="AP39" s="126">
        <v>0</v>
      </c>
      <c r="AQ39" s="126">
        <v>0</v>
      </c>
      <c r="AR39" s="126">
        <v>0</v>
      </c>
      <c r="AS39" s="126">
        <v>0</v>
      </c>
      <c r="AT39" s="11">
        <v>1</v>
      </c>
      <c r="AU39" s="126">
        <v>15</v>
      </c>
      <c r="AV39" s="126">
        <v>0</v>
      </c>
      <c r="AW39" s="195"/>
      <c r="AX39" s="195"/>
      <c r="AY39" s="126">
        <f t="shared" si="13"/>
        <v>15</v>
      </c>
      <c r="AZ39" s="195"/>
      <c r="BA39" s="195"/>
      <c r="BC39" s="27">
        <f t="shared" si="24"/>
        <v>0</v>
      </c>
      <c r="BD39" s="27">
        <f t="shared" si="30"/>
        <v>0</v>
      </c>
      <c r="BF39" s="27">
        <f t="shared" si="16"/>
        <v>1</v>
      </c>
      <c r="BH39" s="27">
        <f t="shared" si="31"/>
        <v>0</v>
      </c>
      <c r="BI39" s="27">
        <f t="shared" si="31"/>
        <v>0</v>
      </c>
      <c r="BJ39" s="27">
        <f t="shared" si="31"/>
        <v>0</v>
      </c>
      <c r="BM39" s="27">
        <f t="shared" si="32"/>
        <v>0</v>
      </c>
      <c r="BN39" s="27">
        <f t="shared" si="32"/>
        <v>0</v>
      </c>
      <c r="BO39" s="27">
        <v>1</v>
      </c>
    </row>
    <row r="40" spans="1:67" s="140" customFormat="1" ht="13" x14ac:dyDescent="0.25">
      <c r="A40" s="57" t="s">
        <v>294</v>
      </c>
      <c r="B40" s="58" t="s">
        <v>350</v>
      </c>
      <c r="C40" s="58" t="s">
        <v>116</v>
      </c>
      <c r="D40" s="57" t="s">
        <v>107</v>
      </c>
      <c r="E40" s="172" t="s">
        <v>294</v>
      </c>
      <c r="F40" s="133" t="s">
        <v>324</v>
      </c>
      <c r="G40" s="173" t="s">
        <v>318</v>
      </c>
      <c r="H40" s="128"/>
      <c r="I40" s="128"/>
      <c r="J40" s="58">
        <v>0</v>
      </c>
      <c r="K40" s="58">
        <v>0</v>
      </c>
      <c r="L40" s="58">
        <v>0</v>
      </c>
      <c r="M40" s="58">
        <v>0</v>
      </c>
      <c r="N40" s="58">
        <v>0</v>
      </c>
      <c r="O40" s="58">
        <v>0</v>
      </c>
      <c r="P40" s="58">
        <v>0</v>
      </c>
      <c r="Q40" s="58">
        <v>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1</v>
      </c>
      <c r="X40" s="58">
        <v>0</v>
      </c>
      <c r="Y40" s="58">
        <v>22</v>
      </c>
      <c r="Z40" s="58">
        <v>0</v>
      </c>
      <c r="AA40" s="58">
        <v>0</v>
      </c>
      <c r="AB40" s="58">
        <v>0</v>
      </c>
      <c r="AC40" s="58">
        <v>0</v>
      </c>
      <c r="AD40" s="126">
        <v>0</v>
      </c>
      <c r="AE40" s="58">
        <v>22</v>
      </c>
      <c r="AF40" s="126"/>
      <c r="AG40" s="126"/>
      <c r="AH40" s="126"/>
      <c r="AI40" s="126">
        <v>22</v>
      </c>
      <c r="AJ40" s="126"/>
      <c r="AK40" s="126">
        <f t="shared" ref="AK40:AL43" si="33">IF(J40&lt;&gt;0,IF(I40="Y",IF(AO40&lt;&gt;0,1,0),0),0)</f>
        <v>0</v>
      </c>
      <c r="AL40" s="126">
        <f t="shared" si="33"/>
        <v>0</v>
      </c>
      <c r="AM40" s="126">
        <v>1</v>
      </c>
      <c r="AN40" s="126">
        <f t="shared" ref="AN40:AN43" si="34">IF(M40&lt;&gt;0,IF(L40="Y",IF(AR40&lt;&gt;0,1,0),0),0)</f>
        <v>0</v>
      </c>
      <c r="AO40" s="126">
        <v>22</v>
      </c>
      <c r="AP40" s="126">
        <f t="shared" ref="AP40:AS43" si="35">IF(O40&lt;&gt;0,IF(N40="Y",IF(AT40&lt;&gt;0,1,0),0),0)</f>
        <v>0</v>
      </c>
      <c r="AQ40" s="126">
        <f t="shared" si="35"/>
        <v>0</v>
      </c>
      <c r="AR40" s="126">
        <f t="shared" si="35"/>
        <v>0</v>
      </c>
      <c r="AS40" s="126">
        <f t="shared" si="35"/>
        <v>0</v>
      </c>
      <c r="AT40" s="126">
        <v>1</v>
      </c>
      <c r="AU40" s="126">
        <v>22</v>
      </c>
      <c r="AV40" s="126">
        <v>0</v>
      </c>
      <c r="AW40" s="126"/>
      <c r="AX40" s="126"/>
      <c r="AY40" s="126">
        <f t="shared" si="13"/>
        <v>22</v>
      </c>
      <c r="AZ40" s="127"/>
      <c r="BA40" s="127"/>
      <c r="BB40" s="2"/>
      <c r="BC40" s="27">
        <f t="shared" ref="BC40:BC43" si="36">SUM(Z40:AC40)</f>
        <v>0</v>
      </c>
      <c r="BD40" s="27">
        <f t="shared" si="15"/>
        <v>0</v>
      </c>
      <c r="BE40" s="27"/>
      <c r="BF40" s="27">
        <f t="shared" si="16"/>
        <v>1</v>
      </c>
      <c r="BG40" s="27"/>
      <c r="BH40" s="27">
        <v>0</v>
      </c>
      <c r="BI40" s="27">
        <v>0</v>
      </c>
      <c r="BJ40" s="27">
        <v>0</v>
      </c>
      <c r="BK40" s="27"/>
      <c r="BL40" s="27"/>
      <c r="BM40" s="27">
        <v>0</v>
      </c>
      <c r="BN40" s="27">
        <v>0</v>
      </c>
      <c r="BO40" s="27">
        <v>0</v>
      </c>
    </row>
    <row r="41" spans="1:67" s="140" customFormat="1" ht="13" x14ac:dyDescent="0.25">
      <c r="A41" s="57" t="s">
        <v>294</v>
      </c>
      <c r="B41" s="58" t="s">
        <v>350</v>
      </c>
      <c r="C41" s="58" t="s">
        <v>116</v>
      </c>
      <c r="D41" s="57" t="s">
        <v>107</v>
      </c>
      <c r="E41" s="172" t="s">
        <v>294</v>
      </c>
      <c r="F41" s="133" t="s">
        <v>322</v>
      </c>
      <c r="G41" s="173" t="s">
        <v>319</v>
      </c>
      <c r="H41" s="128"/>
      <c r="I41" s="128"/>
      <c r="J41" s="58">
        <v>0</v>
      </c>
      <c r="K41" s="58">
        <v>0</v>
      </c>
      <c r="L41" s="58">
        <v>0</v>
      </c>
      <c r="M41" s="58">
        <v>0</v>
      </c>
      <c r="N41" s="58">
        <v>0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1</v>
      </c>
      <c r="X41" s="58">
        <v>0</v>
      </c>
      <c r="Y41" s="58">
        <v>22</v>
      </c>
      <c r="Z41" s="58">
        <v>0</v>
      </c>
      <c r="AA41" s="58">
        <v>0</v>
      </c>
      <c r="AB41" s="58">
        <v>0</v>
      </c>
      <c r="AC41" s="58">
        <v>0</v>
      </c>
      <c r="AD41" s="126">
        <v>0</v>
      </c>
      <c r="AE41" s="58">
        <v>22</v>
      </c>
      <c r="AF41" s="126"/>
      <c r="AG41" s="126"/>
      <c r="AH41" s="126"/>
      <c r="AI41" s="126">
        <v>22</v>
      </c>
      <c r="AJ41" s="126"/>
      <c r="AK41" s="126">
        <f t="shared" si="33"/>
        <v>0</v>
      </c>
      <c r="AL41" s="126">
        <f t="shared" si="33"/>
        <v>0</v>
      </c>
      <c r="AM41" s="126">
        <v>1</v>
      </c>
      <c r="AN41" s="126">
        <f t="shared" si="34"/>
        <v>0</v>
      </c>
      <c r="AO41" s="126">
        <v>22</v>
      </c>
      <c r="AP41" s="126">
        <f t="shared" si="35"/>
        <v>0</v>
      </c>
      <c r="AQ41" s="126">
        <f t="shared" si="35"/>
        <v>0</v>
      </c>
      <c r="AR41" s="126">
        <f t="shared" si="35"/>
        <v>0</v>
      </c>
      <c r="AS41" s="126">
        <f t="shared" si="35"/>
        <v>0</v>
      </c>
      <c r="AT41" s="126">
        <v>1</v>
      </c>
      <c r="AU41" s="126">
        <v>22</v>
      </c>
      <c r="AV41" s="126">
        <v>0</v>
      </c>
      <c r="AW41" s="126"/>
      <c r="AX41" s="126"/>
      <c r="AY41" s="126">
        <f t="shared" si="13"/>
        <v>22</v>
      </c>
      <c r="AZ41" s="127"/>
      <c r="BA41" s="127"/>
      <c r="BB41" s="2"/>
      <c r="BC41" s="27">
        <f t="shared" si="36"/>
        <v>0</v>
      </c>
      <c r="BD41" s="27">
        <f t="shared" si="15"/>
        <v>0</v>
      </c>
      <c r="BE41" s="27"/>
      <c r="BF41" s="27">
        <f t="shared" si="16"/>
        <v>1</v>
      </c>
      <c r="BG41" s="27"/>
      <c r="BH41" s="27">
        <v>0</v>
      </c>
      <c r="BI41" s="27">
        <v>0</v>
      </c>
      <c r="BJ41" s="27">
        <v>0</v>
      </c>
      <c r="BK41" s="27"/>
      <c r="BL41" s="27"/>
      <c r="BM41" s="27">
        <v>0</v>
      </c>
      <c r="BN41" s="27">
        <v>0</v>
      </c>
      <c r="BO41" s="27">
        <v>0</v>
      </c>
    </row>
    <row r="42" spans="1:67" s="140" customFormat="1" ht="13" x14ac:dyDescent="0.25">
      <c r="A42" s="57" t="s">
        <v>294</v>
      </c>
      <c r="B42" s="58" t="s">
        <v>351</v>
      </c>
      <c r="C42" s="58" t="s">
        <v>116</v>
      </c>
      <c r="D42" s="57" t="s">
        <v>107</v>
      </c>
      <c r="E42" s="172" t="s">
        <v>294</v>
      </c>
      <c r="F42" s="133" t="s">
        <v>323</v>
      </c>
      <c r="G42" s="173" t="s">
        <v>320</v>
      </c>
      <c r="H42" s="128"/>
      <c r="I42" s="128"/>
      <c r="J42" s="58">
        <v>0</v>
      </c>
      <c r="K42" s="58">
        <v>0</v>
      </c>
      <c r="L42" s="58">
        <v>0</v>
      </c>
      <c r="M42" s="58">
        <v>0</v>
      </c>
      <c r="N42" s="58">
        <v>0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1</v>
      </c>
      <c r="X42" s="58">
        <v>0</v>
      </c>
      <c r="Y42" s="58">
        <v>22</v>
      </c>
      <c r="Z42" s="58">
        <v>0</v>
      </c>
      <c r="AA42" s="58">
        <v>0</v>
      </c>
      <c r="AB42" s="58">
        <v>0</v>
      </c>
      <c r="AC42" s="58">
        <v>0</v>
      </c>
      <c r="AD42" s="126">
        <v>0</v>
      </c>
      <c r="AE42" s="58">
        <v>22</v>
      </c>
      <c r="AF42" s="126"/>
      <c r="AG42" s="126"/>
      <c r="AH42" s="126"/>
      <c r="AI42" s="126">
        <v>22</v>
      </c>
      <c r="AJ42" s="126"/>
      <c r="AK42" s="126">
        <f t="shared" si="33"/>
        <v>0</v>
      </c>
      <c r="AL42" s="126">
        <f t="shared" si="33"/>
        <v>0</v>
      </c>
      <c r="AM42" s="126">
        <v>1</v>
      </c>
      <c r="AN42" s="126">
        <f t="shared" si="34"/>
        <v>0</v>
      </c>
      <c r="AO42" s="126">
        <v>22</v>
      </c>
      <c r="AP42" s="126">
        <f t="shared" si="35"/>
        <v>0</v>
      </c>
      <c r="AQ42" s="126">
        <f t="shared" si="35"/>
        <v>0</v>
      </c>
      <c r="AR42" s="126">
        <f t="shared" si="35"/>
        <v>0</v>
      </c>
      <c r="AS42" s="126">
        <f t="shared" si="35"/>
        <v>0</v>
      </c>
      <c r="AT42" s="126">
        <v>1</v>
      </c>
      <c r="AU42" s="126">
        <v>22</v>
      </c>
      <c r="AV42" s="126">
        <v>0</v>
      </c>
      <c r="AW42" s="126"/>
      <c r="AX42" s="126"/>
      <c r="AY42" s="126">
        <f t="shared" si="13"/>
        <v>22</v>
      </c>
      <c r="AZ42" s="127"/>
      <c r="BA42" s="127"/>
      <c r="BB42" s="2"/>
      <c r="BC42" s="27">
        <f t="shared" si="36"/>
        <v>0</v>
      </c>
      <c r="BD42" s="27">
        <f t="shared" si="15"/>
        <v>0</v>
      </c>
      <c r="BE42" s="27"/>
      <c r="BF42" s="27">
        <f t="shared" si="16"/>
        <v>1</v>
      </c>
      <c r="BG42" s="27"/>
      <c r="BH42" s="27">
        <v>0</v>
      </c>
      <c r="BI42" s="27">
        <v>0</v>
      </c>
      <c r="BJ42" s="27">
        <v>0</v>
      </c>
      <c r="BK42" s="27"/>
      <c r="BL42" s="27"/>
      <c r="BM42" s="27">
        <v>0</v>
      </c>
      <c r="BN42" s="27">
        <v>0</v>
      </c>
      <c r="BO42" s="27">
        <v>0</v>
      </c>
    </row>
    <row r="43" spans="1:67" s="140" customFormat="1" ht="13" x14ac:dyDescent="0.25">
      <c r="A43" s="57" t="s">
        <v>294</v>
      </c>
      <c r="B43" s="58" t="s">
        <v>351</v>
      </c>
      <c r="C43" s="58" t="s">
        <v>116</v>
      </c>
      <c r="D43" s="57" t="s">
        <v>107</v>
      </c>
      <c r="E43" s="172" t="s">
        <v>294</v>
      </c>
      <c r="F43" s="133" t="s">
        <v>325</v>
      </c>
      <c r="G43" s="173" t="s">
        <v>321</v>
      </c>
      <c r="H43" s="128"/>
      <c r="I43" s="128"/>
      <c r="J43" s="58">
        <v>0</v>
      </c>
      <c r="K43" s="58">
        <v>0</v>
      </c>
      <c r="L43" s="58">
        <v>0</v>
      </c>
      <c r="M43" s="58">
        <v>0</v>
      </c>
      <c r="N43" s="58">
        <v>0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1</v>
      </c>
      <c r="X43" s="58">
        <v>0</v>
      </c>
      <c r="Y43" s="58">
        <v>22</v>
      </c>
      <c r="Z43" s="58">
        <v>0</v>
      </c>
      <c r="AA43" s="58">
        <v>0</v>
      </c>
      <c r="AB43" s="58">
        <v>0</v>
      </c>
      <c r="AC43" s="58">
        <v>0</v>
      </c>
      <c r="AD43" s="126">
        <v>0</v>
      </c>
      <c r="AE43" s="58">
        <v>22</v>
      </c>
      <c r="AF43" s="126"/>
      <c r="AG43" s="126"/>
      <c r="AH43" s="126"/>
      <c r="AI43" s="126">
        <v>22</v>
      </c>
      <c r="AJ43" s="126"/>
      <c r="AK43" s="126">
        <f t="shared" si="33"/>
        <v>0</v>
      </c>
      <c r="AL43" s="126">
        <f t="shared" si="33"/>
        <v>0</v>
      </c>
      <c r="AM43" s="126">
        <v>1</v>
      </c>
      <c r="AN43" s="126">
        <f t="shared" si="34"/>
        <v>0</v>
      </c>
      <c r="AO43" s="126">
        <v>22</v>
      </c>
      <c r="AP43" s="126">
        <f t="shared" si="35"/>
        <v>0</v>
      </c>
      <c r="AQ43" s="126">
        <f t="shared" si="35"/>
        <v>0</v>
      </c>
      <c r="AR43" s="126">
        <f t="shared" si="35"/>
        <v>0</v>
      </c>
      <c r="AS43" s="126">
        <f t="shared" si="35"/>
        <v>0</v>
      </c>
      <c r="AT43" s="126">
        <v>1</v>
      </c>
      <c r="AU43" s="126">
        <v>22</v>
      </c>
      <c r="AV43" s="126">
        <v>0</v>
      </c>
      <c r="AW43" s="126"/>
      <c r="AX43" s="126"/>
      <c r="AY43" s="126">
        <f t="shared" si="13"/>
        <v>22</v>
      </c>
      <c r="AZ43" s="127"/>
      <c r="BA43" s="127"/>
      <c r="BB43" s="2"/>
      <c r="BC43" s="27">
        <f t="shared" si="36"/>
        <v>0</v>
      </c>
      <c r="BD43" s="27">
        <f t="shared" si="15"/>
        <v>0</v>
      </c>
      <c r="BE43" s="27"/>
      <c r="BF43" s="27">
        <f t="shared" si="16"/>
        <v>1</v>
      </c>
      <c r="BG43" s="27"/>
      <c r="BH43" s="27">
        <v>0</v>
      </c>
      <c r="BI43" s="27">
        <v>0</v>
      </c>
      <c r="BJ43" s="27">
        <v>0</v>
      </c>
      <c r="BK43" s="27"/>
      <c r="BL43" s="27"/>
      <c r="BM43" s="27">
        <v>0</v>
      </c>
      <c r="BN43" s="27">
        <v>0</v>
      </c>
      <c r="BO43" s="27">
        <v>0</v>
      </c>
    </row>
  </sheetData>
  <conditionalFormatting sqref="F2:F5">
    <cfRule type="duplicateValues" dxfId="2" priority="1"/>
  </conditionalFormatting>
  <conditionalFormatting sqref="F6:F10">
    <cfRule type="duplicateValues" dxfId="1" priority="2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older_id xmlns="dd2bd4f6-1877-441d-a54f-a28b78dce929" xsi:nil="true"/>
    <AuditTrail xmlns="dd2bd4f6-1877-441d-a54f-a28b78dce929" xsi:nil="true"/>
    <r_object_id xmlns="dd2bd4f6-1877-441d-a54f-a28b78dce929" xsi:nil="true"/>
    <Chronicle_id xmlns="dd2bd4f6-1877-441d-a54f-a28b78dce929" xsi:nil="true"/>
    <Remarks xmlns="dd2bd4f6-1877-441d-a54f-a28b78dce929" xsi:nil="true"/>
    <TaxCatchAll xmlns="dd2bd4f6-1877-441d-a54f-a28b78dce929"/>
    <TaxKeywordTaxHTField xmlns="dd2bd4f6-1877-441d-a54f-a28b78dce929">
      <Terms xmlns="http://schemas.microsoft.com/office/infopath/2007/PartnerControls"/>
    </TaxKeywordTaxHTField>
    <acl_name xmlns="dd2bd4f6-1877-441d-a54f-a28b78dce929" xsi:nil="true"/>
    <SPDescription xmlns="dd2bd4f6-1877-441d-a54f-a28b78dce9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SP Document" ma:contentTypeID="0x010100EBFD6E7CEF28364FAB3C5DAFCAD7509500CBA5953E747A6F4E99380EE833D8FFC4" ma:contentTypeVersion="20" ma:contentTypeDescription="" ma:contentTypeScope="" ma:versionID="36007637c3ca439a4e84a4e07c5f26cc">
  <xsd:schema xmlns:xsd="http://www.w3.org/2001/XMLSchema" xmlns:xs="http://www.w3.org/2001/XMLSchema" xmlns:p="http://schemas.microsoft.com/office/2006/metadata/properties" xmlns:ns2="dd2bd4f6-1877-441d-a54f-a28b78dce929" targetNamespace="http://schemas.microsoft.com/office/2006/metadata/properties" ma:root="true" ma:fieldsID="cea2bad33715980c105ccce2973c9a18" ns2:_="">
    <xsd:import namespace="dd2bd4f6-1877-441d-a54f-a28b78dce929"/>
    <xsd:element name="properties">
      <xsd:complexType>
        <xsd:sequence>
          <xsd:element name="documentManagement">
            <xsd:complexType>
              <xsd:all>
                <xsd:element ref="ns2:r_object_id" minOccurs="0"/>
                <xsd:element ref="ns2:SPDescription" minOccurs="0"/>
                <xsd:element ref="ns2:TaxKeywordTaxHTField" minOccurs="0"/>
                <xsd:element ref="ns2:TaxCatchAll" minOccurs="0"/>
                <xsd:element ref="ns2:TaxCatchAllLabel" minOccurs="0"/>
                <xsd:element ref="ns2:acl_name" minOccurs="0"/>
                <xsd:element ref="ns2:folder_id" minOccurs="0"/>
                <xsd:element ref="ns2:Chronicle_id" minOccurs="0"/>
                <xsd:element ref="ns2:Remarks" minOccurs="0"/>
                <xsd:element ref="ns2:AuditTr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2bd4f6-1877-441d-a54f-a28b78dce929" elementFormDefault="qualified">
    <xsd:import namespace="http://schemas.microsoft.com/office/2006/documentManagement/types"/>
    <xsd:import namespace="http://schemas.microsoft.com/office/infopath/2007/PartnerControls"/>
    <xsd:element name="r_object_id" ma:index="8" nillable="true" ma:displayName="r_object_id" ma:hidden="true" ma:internalName="r_object_id" ma:readOnly="false">
      <xsd:simpleType>
        <xsd:restriction base="dms:Text"/>
      </xsd:simpleType>
    </xsd:element>
    <xsd:element name="SPDescription" ma:index="9" nillable="true" ma:displayName="SPDescription" ma:internalName="SPDescription">
      <xsd:simpleType>
        <xsd:restriction base="dms:Note">
          <xsd:maxLength value="255"/>
        </xsd:restriction>
      </xsd:simpleType>
    </xsd:element>
    <xsd:element name="TaxKeywordTaxHTField" ma:index="10" nillable="true" ma:taxonomy="true" ma:internalName="TaxKeywordTaxHTField" ma:taxonomyFieldName="TaxKeyword" ma:displayName="Enterprise Keywords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03d0ad0a-e669-43e4-8631-e3af9ef69f20}" ma:internalName="TaxCatchAll" ma:showField="CatchAllData" ma:web="63d03319-18fd-4dac-8143-ee9d394ab16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03d0ad0a-e669-43e4-8631-e3af9ef69f20}" ma:internalName="TaxCatchAllLabel" ma:readOnly="true" ma:showField="CatchAllDataLabel" ma:web="63d03319-18fd-4dac-8143-ee9d394ab16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l_name" ma:index="14" nillable="true" ma:displayName="acl_name" ma:hidden="true" ma:internalName="acl_name" ma:readOnly="false">
      <xsd:simpleType>
        <xsd:restriction base="dms:Text">
          <xsd:maxLength value="255"/>
        </xsd:restriction>
      </xsd:simpleType>
    </xsd:element>
    <xsd:element name="folder_id" ma:index="15" nillable="true" ma:displayName="folder_id" ma:hidden="true" ma:internalName="folder_id" ma:readOnly="false">
      <xsd:simpleType>
        <xsd:restriction base="dms:Text">
          <xsd:maxLength value="255"/>
        </xsd:restriction>
      </xsd:simpleType>
    </xsd:element>
    <xsd:element name="Chronicle_id" ma:index="16" nillable="true" ma:displayName="Chronicle_id" ma:hidden="true" ma:internalName="Chronicle_id" ma:readOnly="false">
      <xsd:simpleType>
        <xsd:restriction base="dms:Text">
          <xsd:maxLength value="255"/>
        </xsd:restriction>
      </xsd:simpleType>
    </xsd:element>
    <xsd:element name="Remarks" ma:index="17" nillable="true" ma:displayName="Remarks" ma:internalName="Remarks">
      <xsd:simpleType>
        <xsd:restriction base="dms:Text">
          <xsd:maxLength value="255"/>
        </xsd:restriction>
      </xsd:simpleType>
    </xsd:element>
    <xsd:element name="AuditTrail" ma:index="18" nillable="true" ma:displayName="Audit Trail" ma:internalName="AuditTrail" ma:readOnly="fals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5.xml><?xml version="1.0" encoding="utf-8"?>
<?mso-contentType ?>
<SharedContentType xmlns="Microsoft.SharePoint.Taxonomy.ContentTypeSync" SourceId="3c2fb1c5-5267-48c4-a0c5-d2f04e97ee7b" ContentTypeId="0x010100EBFD6E7CEF28364FAB3C5DAFCAD75095" PreviousValue="true"/>
</file>

<file path=customXml/itemProps1.xml><?xml version="1.0" encoding="utf-8"?>
<ds:datastoreItem xmlns:ds="http://schemas.openxmlformats.org/officeDocument/2006/customXml" ds:itemID="{0F8B57CE-4834-4BF0-BC79-231662410C99}">
  <ds:schemaRefs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dd2bd4f6-1877-441d-a54f-a28b78dce929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8690CA-E272-48F6-9ECA-310A4161E6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94491B-79F7-4FE4-94E9-A24E8D0B8E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2bd4f6-1877-441d-a54f-a28b78dce9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E1416A-FB23-47C9-92F1-76A4E02E3439}">
  <ds:schemaRefs>
    <ds:schemaRef ds:uri="http://schemas.microsoft.com/office/2006/metadata/customXsn"/>
  </ds:schemaRefs>
</ds:datastoreItem>
</file>

<file path=customXml/itemProps5.xml><?xml version="1.0" encoding="utf-8"?>
<ds:datastoreItem xmlns:ds="http://schemas.openxmlformats.org/officeDocument/2006/customXml" ds:itemID="{501A8A86-7A04-47B6-86C6-8E97B4F3DD14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Steps</vt:lpstr>
      <vt:lpstr>Parameters</vt:lpstr>
      <vt:lpstr>Details</vt:lpstr>
      <vt:lpstr>Elective Numbers</vt:lpstr>
      <vt:lpstr>MP By Course</vt:lpstr>
      <vt:lpstr>Core Numbers</vt:lpstr>
      <vt:lpstr>Servicing</vt:lpstr>
      <vt:lpstr>SD</vt:lpstr>
      <vt:lpstr>Queries</vt:lpstr>
      <vt:lpstr>DDA</vt:lpstr>
      <vt:lpstr>Old (Electives)</vt:lpstr>
      <vt:lpstr>IT Electives</vt:lpstr>
      <vt:lpstr>Specialist Dip</vt:lpstr>
      <vt:lpstr>Details!Print_Area</vt:lpstr>
      <vt:lpstr>'IT Electives'!Print_Area</vt:lpstr>
      <vt:lpstr>'Old (Electives)'!Print_Area</vt:lpstr>
      <vt:lpstr>Parameters!Print_Area</vt:lpstr>
      <vt:lpstr>Details!Print_Titles</vt:lpstr>
      <vt:lpstr>'MP By Course'!Print_Titles</vt:lpstr>
    </vt:vector>
  </TitlesOfParts>
  <Company>Singapore Polytechnic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Chan</dc:creator>
  <cp:lastModifiedBy>Administrator</cp:lastModifiedBy>
  <cp:lastPrinted>2020-10-30T08:00:09Z</cp:lastPrinted>
  <dcterms:created xsi:type="dcterms:W3CDTF">1998-07-11T03:23:38Z</dcterms:created>
  <dcterms:modified xsi:type="dcterms:W3CDTF">2020-10-30T08:02:55Z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0x010100EBFD6E7CEF28364FAB3C5DAFCAD7509500CBA5953E747A6F4E99380EE833D8FFC4</vt:lpwstr>
  </property>
  <property fmtid="{D5CDD505-2E9C-101B-9397-08002B2CF9AE}" pid="3" name="TaxKeyword">
    <vt:lpwstr/>
  </property>
</Properties>
</file>